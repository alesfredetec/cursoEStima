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120" yWindow="60" windowWidth="12120" windowHeight="8580" activeTab="1"/>
  </bookViews>
  <sheets>
    <sheet name="Matriz de Riesgos" sheetId="1" r:id="rId1"/>
    <sheet name="Relevamiento" sheetId="3" r:id="rId2"/>
    <sheet name="Sheet1" sheetId="2" r:id="rId3"/>
  </sheets>
  <definedNames>
    <definedName name="_xlnm._FilterDatabase" localSheetId="0" hidden="1">'Matriz de Riesgos'!$M$11:$M$29</definedName>
    <definedName name="_xlnm._FilterDatabase" localSheetId="2" hidden="1">Sheet1!$C$111:$G$191</definedName>
    <definedName name="OLE_LINK1" localSheetId="0">'Matriz de Riesgos'!$A$2</definedName>
    <definedName name="_xlnm.Print_Area" localSheetId="0">'Matriz de Riesgos'!$A$9:$T$29</definedName>
  </definedNames>
  <calcPr calcId="125725"/>
  <fileRecoveryPr repairLoad="1"/>
</workbook>
</file>

<file path=xl/calcChain.xml><?xml version="1.0" encoding="utf-8"?>
<calcChain xmlns="http://schemas.openxmlformats.org/spreadsheetml/2006/main">
  <c r="Q8" i="3"/>
  <c r="R8"/>
  <c r="S8"/>
  <c r="T8"/>
  <c r="U8"/>
  <c r="Q9"/>
  <c r="R9"/>
  <c r="S9"/>
  <c r="T9"/>
  <c r="U9"/>
  <c r="Q10"/>
  <c r="R10"/>
  <c r="S10"/>
  <c r="T10"/>
  <c r="U10"/>
  <c r="Q11"/>
  <c r="R11"/>
  <c r="S11"/>
  <c r="T11"/>
  <c r="U11"/>
  <c r="Q12"/>
  <c r="R12"/>
  <c r="S12"/>
  <c r="T12"/>
  <c r="U12"/>
  <c r="Q13"/>
  <c r="R13"/>
  <c r="S13"/>
  <c r="T13"/>
  <c r="U13"/>
  <c r="Q14"/>
  <c r="R14"/>
  <c r="S14"/>
  <c r="T14"/>
  <c r="U14"/>
  <c r="Q16"/>
  <c r="R16"/>
  <c r="S16"/>
  <c r="T16"/>
  <c r="U16"/>
  <c r="Q17"/>
  <c r="R17"/>
  <c r="S17"/>
  <c r="T17"/>
  <c r="U17"/>
  <c r="Q18"/>
  <c r="R18"/>
  <c r="S18"/>
  <c r="T18"/>
  <c r="U18"/>
  <c r="Q19"/>
  <c r="R19"/>
  <c r="S19"/>
  <c r="T19"/>
  <c r="U19"/>
  <c r="Q21"/>
  <c r="R21"/>
  <c r="S21"/>
  <c r="T21"/>
  <c r="U21"/>
  <c r="Q22"/>
  <c r="R22"/>
  <c r="S22"/>
  <c r="T22"/>
  <c r="U22"/>
  <c r="Q23"/>
  <c r="R23"/>
  <c r="S23"/>
  <c r="T23"/>
  <c r="U23"/>
  <c r="Q24"/>
  <c r="R24"/>
  <c r="S24"/>
  <c r="T24"/>
  <c r="U24"/>
  <c r="Q25"/>
  <c r="R25"/>
  <c r="S25"/>
  <c r="T25"/>
  <c r="U25"/>
  <c r="Q26"/>
  <c r="R26"/>
  <c r="S26"/>
  <c r="T26"/>
  <c r="U26"/>
  <c r="Q27"/>
  <c r="R27"/>
  <c r="S27"/>
  <c r="T27"/>
  <c r="U27"/>
  <c r="Q28"/>
  <c r="R28"/>
  <c r="S28"/>
  <c r="T28"/>
  <c r="U28"/>
  <c r="Q29"/>
  <c r="R29"/>
  <c r="S29"/>
  <c r="T29"/>
  <c r="U29"/>
  <c r="Q30"/>
  <c r="R30"/>
  <c r="S30"/>
  <c r="T30"/>
  <c r="U30"/>
  <c r="Q31"/>
  <c r="R31"/>
  <c r="S31"/>
  <c r="T31"/>
  <c r="U31"/>
  <c r="Q32"/>
  <c r="R32"/>
  <c r="S32"/>
  <c r="T32"/>
  <c r="U32"/>
  <c r="Q33"/>
  <c r="R33"/>
  <c r="S33"/>
  <c r="T33"/>
  <c r="U33"/>
  <c r="Q34"/>
  <c r="R34"/>
  <c r="S34"/>
  <c r="T34"/>
  <c r="U34"/>
  <c r="Q36"/>
  <c r="R36"/>
  <c r="S36"/>
  <c r="T36"/>
  <c r="U36"/>
  <c r="Q37"/>
  <c r="R37"/>
  <c r="S37"/>
  <c r="T37"/>
  <c r="U37"/>
  <c r="Q38"/>
  <c r="R38"/>
  <c r="S38"/>
  <c r="T38"/>
  <c r="U38"/>
  <c r="Q39"/>
  <c r="R39"/>
  <c r="S39"/>
  <c r="T39"/>
  <c r="U39"/>
  <c r="Q40"/>
  <c r="R40"/>
  <c r="S40"/>
  <c r="T40"/>
  <c r="U40"/>
  <c r="Q41"/>
  <c r="R41"/>
  <c r="S41"/>
  <c r="T41"/>
  <c r="U41"/>
  <c r="Q42"/>
  <c r="R42"/>
  <c r="S42"/>
  <c r="T42"/>
  <c r="U42"/>
  <c r="Q43"/>
  <c r="R43"/>
  <c r="S43"/>
  <c r="T43"/>
  <c r="U43"/>
  <c r="Q44"/>
  <c r="R44"/>
  <c r="S44"/>
  <c r="T44"/>
  <c r="U44"/>
  <c r="Q45"/>
  <c r="R45"/>
  <c r="S45"/>
  <c r="T45"/>
  <c r="U45"/>
  <c r="Q46"/>
  <c r="R46"/>
  <c r="S46"/>
  <c r="T46"/>
  <c r="U46"/>
  <c r="Q47"/>
  <c r="R47"/>
  <c r="S47"/>
  <c r="T47"/>
  <c r="U47"/>
  <c r="P8"/>
  <c r="V8" s="1"/>
  <c r="P9"/>
  <c r="V9" s="1"/>
  <c r="P10"/>
  <c r="V10" s="1"/>
  <c r="P11"/>
  <c r="V11" s="1"/>
  <c r="P12"/>
  <c r="V12" s="1"/>
  <c r="P13"/>
  <c r="V13" s="1"/>
  <c r="P14"/>
  <c r="V14" s="1"/>
  <c r="P16"/>
  <c r="V16" s="1"/>
  <c r="P17"/>
  <c r="V17" s="1"/>
  <c r="P18"/>
  <c r="P19"/>
  <c r="V19" s="1"/>
  <c r="P21"/>
  <c r="P22"/>
  <c r="V22" s="1"/>
  <c r="P23"/>
  <c r="P24"/>
  <c r="V24" s="1"/>
  <c r="P25"/>
  <c r="P26"/>
  <c r="V26" s="1"/>
  <c r="P27"/>
  <c r="P28"/>
  <c r="V28" s="1"/>
  <c r="P29"/>
  <c r="P30"/>
  <c r="V30" s="1"/>
  <c r="P31"/>
  <c r="P32"/>
  <c r="V32" s="1"/>
  <c r="P33"/>
  <c r="P34"/>
  <c r="V34" s="1"/>
  <c r="P36"/>
  <c r="P37"/>
  <c r="V37" s="1"/>
  <c r="P38"/>
  <c r="P39"/>
  <c r="P40"/>
  <c r="P41"/>
  <c r="P42"/>
  <c r="P43"/>
  <c r="P44"/>
  <c r="P45"/>
  <c r="P46"/>
  <c r="P47"/>
  <c r="Q7"/>
  <c r="R7"/>
  <c r="S7"/>
  <c r="T7"/>
  <c r="U7"/>
  <c r="P7"/>
  <c r="Q6"/>
  <c r="R6"/>
  <c r="S6"/>
  <c r="T6"/>
  <c r="U6"/>
  <c r="P6"/>
  <c r="H119" i="2"/>
  <c r="H117"/>
  <c r="H118"/>
  <c r="H116"/>
  <c r="H112"/>
  <c r="H123"/>
  <c r="H121"/>
  <c r="H122"/>
  <c r="H120"/>
  <c r="H113"/>
  <c r="H133"/>
  <c r="H135"/>
  <c r="H132"/>
  <c r="H134"/>
  <c r="H114"/>
  <c r="H137"/>
  <c r="H139"/>
  <c r="H136"/>
  <c r="H138"/>
  <c r="H115"/>
  <c r="H143"/>
  <c r="H141"/>
  <c r="H142"/>
  <c r="H140"/>
  <c r="H147"/>
  <c r="H145"/>
  <c r="H146"/>
  <c r="H144"/>
  <c r="H150"/>
  <c r="H148"/>
  <c r="H149"/>
  <c r="H151"/>
  <c r="H152"/>
  <c r="H154"/>
  <c r="H153"/>
  <c r="H155"/>
  <c r="H156"/>
  <c r="H158"/>
  <c r="H157"/>
  <c r="H159"/>
  <c r="H160"/>
  <c r="H162"/>
  <c r="H161"/>
  <c r="H163"/>
  <c r="H167"/>
  <c r="H165"/>
  <c r="H166"/>
  <c r="H164"/>
  <c r="H168"/>
  <c r="H169"/>
  <c r="H170"/>
  <c r="H171"/>
  <c r="H172"/>
  <c r="H174"/>
  <c r="H173"/>
  <c r="H175"/>
  <c r="H176"/>
  <c r="H178"/>
  <c r="H177"/>
  <c r="H179"/>
  <c r="H181"/>
  <c r="H182"/>
  <c r="H180"/>
  <c r="H184"/>
  <c r="H186"/>
  <c r="H185"/>
  <c r="H187"/>
  <c r="H188"/>
  <c r="H190"/>
  <c r="H189"/>
  <c r="H191"/>
  <c r="H127"/>
  <c r="H125"/>
  <c r="H126"/>
  <c r="H124"/>
  <c r="H131"/>
  <c r="H129"/>
  <c r="H130"/>
  <c r="H128"/>
  <c r="H183"/>
  <c r="E207"/>
  <c r="E206"/>
  <c r="E205"/>
  <c r="E204"/>
  <c r="V46" i="3" l="1"/>
  <c r="V44"/>
  <c r="V42"/>
  <c r="V40"/>
  <c r="V38"/>
  <c r="V36"/>
  <c r="V33"/>
  <c r="V31"/>
  <c r="V29"/>
  <c r="V27"/>
  <c r="V25"/>
  <c r="V23"/>
  <c r="V21"/>
  <c r="V18"/>
  <c r="V7"/>
  <c r="V45"/>
  <c r="V43"/>
  <c r="V41"/>
  <c r="V39"/>
  <c r="V6"/>
  <c r="V47"/>
  <c r="V48" l="1"/>
  <c r="W6" s="1"/>
  <c r="V50"/>
  <c r="V49"/>
  <c r="W8" l="1"/>
  <c r="X8" s="1"/>
  <c r="W10"/>
  <c r="W12"/>
  <c r="X12" s="1"/>
  <c r="W14"/>
  <c r="W17"/>
  <c r="X17" s="1"/>
  <c r="W19"/>
  <c r="W22"/>
  <c r="W24"/>
  <c r="W26"/>
  <c r="W28"/>
  <c r="W30"/>
  <c r="X30" s="1"/>
  <c r="W32"/>
  <c r="W34"/>
  <c r="X34" s="1"/>
  <c r="W37"/>
  <c r="W39"/>
  <c r="X39" s="1"/>
  <c r="W41"/>
  <c r="W43"/>
  <c r="X43" s="1"/>
  <c r="W45"/>
  <c r="W47"/>
  <c r="X47" s="1"/>
  <c r="W7"/>
  <c r="X7" s="1"/>
  <c r="W9"/>
  <c r="X9" s="1"/>
  <c r="W11"/>
  <c r="W13"/>
  <c r="X13" s="1"/>
  <c r="W16"/>
  <c r="W18"/>
  <c r="X18" s="1"/>
  <c r="W21"/>
  <c r="W23"/>
  <c r="X23" s="1"/>
  <c r="W25"/>
  <c r="W27"/>
  <c r="X27" s="1"/>
  <c r="W29"/>
  <c r="W31"/>
  <c r="X31" s="1"/>
  <c r="W33"/>
  <c r="X33" s="1"/>
  <c r="W36"/>
  <c r="X36" s="1"/>
  <c r="W38"/>
  <c r="W40"/>
  <c r="X40" s="1"/>
  <c r="W42"/>
  <c r="X42" s="1"/>
  <c r="W44"/>
  <c r="X44" s="1"/>
  <c r="W46"/>
  <c r="X46" s="1"/>
  <c r="X26"/>
  <c r="X16"/>
  <c r="X25"/>
  <c r="X38"/>
  <c r="X22"/>
  <c r="X29"/>
  <c r="X21"/>
  <c r="X11"/>
  <c r="X32"/>
  <c r="X28"/>
  <c r="X24"/>
  <c r="X14"/>
  <c r="X10"/>
  <c r="X6"/>
  <c r="X45"/>
  <c r="X41"/>
  <c r="X37"/>
  <c r="X19"/>
  <c r="H1" l="1"/>
  <c r="W50"/>
  <c r="W49"/>
</calcChain>
</file>

<file path=xl/comments1.xml><?xml version="1.0" encoding="utf-8"?>
<comments xmlns="http://schemas.openxmlformats.org/spreadsheetml/2006/main">
  <authors>
    <author>Alejandro Sfrede</author>
  </authors>
  <commentList>
    <comment ref="AE33" authorId="0">
      <text>
        <r>
          <rPr>
            <sz val="9"/>
            <color indexed="81"/>
            <rFont val="Tahoma"/>
            <family val="2"/>
          </rPr>
          <t xml:space="preserve">
Fiabilidad del software necesario 
ligeras molestias 
bajo, fácilmente recuperable pérdidas 
moderado, fácilmente recuperable pérdidas 
alta pérdida financiera 
riesgo para la vida humana 
</t>
        </r>
      </text>
    </comment>
    <comment ref="AE35" authorId="0">
      <text>
        <r>
          <rPr>
            <b/>
            <sz val="9"/>
            <color indexed="81"/>
            <rFont val="Tahoma"/>
            <family val="2"/>
          </rPr>
          <t>Alejandro Sfrede:</t>
        </r>
        <r>
          <rPr>
            <sz val="9"/>
            <color indexed="81"/>
            <rFont val="Tahoma"/>
            <family val="2"/>
          </rPr>
          <t xml:space="preserve">
Complejidad se divide en cinco áreas: las operaciones de control, operaciones de cálculo, los dispositivos que dependen de las operaciones, las operaciones de gestión de datos, interfaz de usuario y las operaciones de gestión</t>
        </r>
      </text>
    </comment>
    <comment ref="AE36" authorId="0">
      <text>
        <r>
          <rPr>
            <b/>
            <sz val="9"/>
            <color indexed="81"/>
            <rFont val="Tahoma"/>
            <family val="2"/>
          </rPr>
          <t>Alejandro Sfrede:</t>
        </r>
        <r>
          <rPr>
            <sz val="9"/>
            <color indexed="81"/>
            <rFont val="Tahoma"/>
            <family val="2"/>
          </rPr>
          <t xml:space="preserve">
 tiempo de ejecución previsto para ser utilizado por el sistema o subsistema se consume el tiempo de ejecución de recursos</t>
        </r>
      </text>
    </comment>
    <comment ref="AE37" authorId="0">
      <text>
        <r>
          <rPr>
            <b/>
            <sz val="9"/>
            <color indexed="81"/>
            <rFont val="Tahoma"/>
            <family val="2"/>
          </rPr>
          <t>Alejandro Sfrede:</t>
        </r>
        <r>
          <rPr>
            <sz val="9"/>
            <color indexed="81"/>
            <rFont val="Tahoma"/>
            <family val="2"/>
          </rPr>
          <t xml:space="preserve">
cambios de hardware y soft de plataforma</t>
        </r>
      </text>
    </comment>
    <comment ref="AE40" authorId="0">
      <text>
        <r>
          <rPr>
            <b/>
            <sz val="9"/>
            <color indexed="81"/>
            <rFont val="Tahoma"/>
            <family val="2"/>
          </rPr>
          <t>Alejandro Sfrede:</t>
        </r>
        <r>
          <rPr>
            <sz val="9"/>
            <color indexed="81"/>
            <rFont val="Tahoma"/>
            <family val="2"/>
          </rPr>
          <t xml:space="preserve">
Análisis y Diseño de la capacidad, eficiencia y rigor, y la capacidad de comunicarse y cooperar. La puntuación no debe considerar el nivel de experiencia del analista,</t>
        </r>
      </text>
    </comment>
    <comment ref="AE41" authorId="0">
      <text>
        <r>
          <rPr>
            <b/>
            <sz val="9"/>
            <color indexed="81"/>
            <rFont val="Tahoma"/>
            <family val="2"/>
          </rPr>
          <t>Alejandro Sfrede:</t>
        </r>
        <r>
          <rPr>
            <sz val="9"/>
            <color indexed="81"/>
            <rFont val="Tahoma"/>
            <family val="2"/>
          </rPr>
          <t xml:space="preserve">
 nivel de experiencia en aplicaciones del equipo del proyecto el desarrollo del software </t>
        </r>
      </text>
    </comment>
    <comment ref="AE42" authorId="0">
      <text>
        <r>
          <rPr>
            <b/>
            <sz val="9"/>
            <color indexed="81"/>
            <rFont val="Tahoma"/>
            <family val="2"/>
          </rPr>
          <t>Alejandro Sfrede:</t>
        </r>
        <r>
          <rPr>
            <sz val="9"/>
            <color indexed="81"/>
            <rFont val="Tahoma"/>
            <family val="2"/>
          </rPr>
          <t xml:space="preserve">
rincipales factores que deben considerarse en la calificación son la capacidad, eficiencia y rigor, y la capacidad de comunicarse y cooperar. La experiencia de los programadores no deben considerarse aquí, </t>
        </r>
      </text>
    </comment>
    <comment ref="AE45" authorId="0">
      <text>
        <r>
          <rPr>
            <b/>
            <sz val="9"/>
            <color indexed="81"/>
            <rFont val="Tahoma"/>
            <family val="2"/>
          </rPr>
          <t>Alejandro Sfrede:</t>
        </r>
        <r>
          <rPr>
            <sz val="9"/>
            <color indexed="81"/>
            <rFont val="Tahoma"/>
            <family val="2"/>
          </rPr>
          <t xml:space="preserve">
nivel de procesos incorporados para el proyecto  de desarrollo y seguimietno </t>
        </r>
      </text>
    </comment>
    <comment ref="AE46" authorId="0">
      <text>
        <r>
          <rPr>
            <b/>
            <sz val="9"/>
            <color indexed="81"/>
            <rFont val="Tahoma"/>
            <family val="2"/>
          </rPr>
          <t>Alejandro Sfrede:</t>
        </r>
        <r>
          <rPr>
            <sz val="9"/>
            <color indexed="81"/>
            <rFont val="Tahoma"/>
            <family val="2"/>
          </rPr>
          <t xml:space="preserve">
Uso de herramientas de software </t>
        </r>
      </text>
    </comment>
    <comment ref="AE47" authorId="0">
      <text>
        <r>
          <rPr>
            <b/>
            <sz val="9"/>
            <color indexed="81"/>
            <rFont val="Tahoma"/>
            <family val="2"/>
          </rPr>
          <t>Alejandro Sfrede:</t>
        </r>
        <r>
          <rPr>
            <sz val="9"/>
            <color indexed="81"/>
            <rFont val="Tahoma"/>
            <family val="2"/>
          </rPr>
          <t xml:space="preserve">
 limitación impuesta a programar .  Nivel de requerimient ode agenda.</t>
        </r>
      </text>
    </comment>
  </commentList>
</comments>
</file>

<file path=xl/comments2.xml><?xml version="1.0" encoding="utf-8"?>
<comments xmlns="http://schemas.openxmlformats.org/spreadsheetml/2006/main">
  <authors>
    <author>Alejandro Sfrede</author>
  </authors>
  <commentList>
    <comment ref="F4" authorId="0">
      <text>
        <r>
          <rPr>
            <sz val="9"/>
            <color indexed="81"/>
            <rFont val="Tahoma"/>
            <family val="2"/>
          </rPr>
          <t xml:space="preserve">
Fiabilidad del software necesario 
ligeras molestias 
bajo, fácilmente recuperable pérdidas 
moderado, fácilmente recuperable pérdidas 
alta pérdida financiera 
riesgo para la vida humana 
</t>
        </r>
      </text>
    </comment>
    <comment ref="F6" authorId="0">
      <text>
        <r>
          <rPr>
            <b/>
            <sz val="9"/>
            <color indexed="81"/>
            <rFont val="Tahoma"/>
            <family val="2"/>
          </rPr>
          <t>Alejandro Sfrede:</t>
        </r>
        <r>
          <rPr>
            <sz val="9"/>
            <color indexed="81"/>
            <rFont val="Tahoma"/>
            <family val="2"/>
          </rPr>
          <t xml:space="preserve">
Complejidad se divide en cinco áreas: las operaciones de control, operaciones de cálculo, los dispositivos que dependen de las operaciones, las operaciones de gestión de datos, interfaz de usuario y las operaciones de gestión</t>
        </r>
      </text>
    </comment>
    <comment ref="F7" authorId="0">
      <text>
        <r>
          <rPr>
            <b/>
            <sz val="9"/>
            <color indexed="81"/>
            <rFont val="Tahoma"/>
            <family val="2"/>
          </rPr>
          <t>Alejandro Sfrede:</t>
        </r>
        <r>
          <rPr>
            <sz val="9"/>
            <color indexed="81"/>
            <rFont val="Tahoma"/>
            <family val="2"/>
          </rPr>
          <t xml:space="preserve">
 tiempo de ejecución previsto para ser utilizado por el sistema o subsistema se consume el tiempo de ejecución de recursos</t>
        </r>
      </text>
    </comment>
    <comment ref="F8" authorId="0">
      <text>
        <r>
          <rPr>
            <b/>
            <sz val="9"/>
            <color indexed="81"/>
            <rFont val="Tahoma"/>
            <family val="2"/>
          </rPr>
          <t>Alejandro Sfrede:</t>
        </r>
        <r>
          <rPr>
            <sz val="9"/>
            <color indexed="81"/>
            <rFont val="Tahoma"/>
            <family val="2"/>
          </rPr>
          <t xml:space="preserve">
cambios de hardware y soft de plataforma</t>
        </r>
      </text>
    </comment>
    <comment ref="F11" authorId="0">
      <text>
        <r>
          <rPr>
            <b/>
            <sz val="9"/>
            <color indexed="81"/>
            <rFont val="Tahoma"/>
            <family val="2"/>
          </rPr>
          <t>Alejandro Sfrede:</t>
        </r>
        <r>
          <rPr>
            <sz val="9"/>
            <color indexed="81"/>
            <rFont val="Tahoma"/>
            <family val="2"/>
          </rPr>
          <t xml:space="preserve">
Análisis y Diseño de la capacidad, eficiencia y rigor, y la capacidad de comunicarse y cooperar. La puntuación no debe considerar el nivel de experiencia del analista,</t>
        </r>
      </text>
    </comment>
    <comment ref="F12" authorId="0">
      <text>
        <r>
          <rPr>
            <b/>
            <sz val="9"/>
            <color indexed="81"/>
            <rFont val="Tahoma"/>
            <family val="2"/>
          </rPr>
          <t>Alejandro Sfrede:</t>
        </r>
        <r>
          <rPr>
            <sz val="9"/>
            <color indexed="81"/>
            <rFont val="Tahoma"/>
            <family val="2"/>
          </rPr>
          <t xml:space="preserve">
 nivel de experiencia en aplicaciones del equipo del proyecto el desarrollo del software </t>
        </r>
      </text>
    </comment>
    <comment ref="F13" authorId="0">
      <text>
        <r>
          <rPr>
            <b/>
            <sz val="9"/>
            <color indexed="81"/>
            <rFont val="Tahoma"/>
            <family val="2"/>
          </rPr>
          <t>Alejandro Sfrede:</t>
        </r>
        <r>
          <rPr>
            <sz val="9"/>
            <color indexed="81"/>
            <rFont val="Tahoma"/>
            <family val="2"/>
          </rPr>
          <t xml:space="preserve">
rincipales factores que deben considerarse en la calificación son la capacidad, eficiencia y rigor, y la capacidad de comunicarse y cooperar. La experiencia de los programadores no deben considerarse aquí, </t>
        </r>
      </text>
    </comment>
    <comment ref="F16" authorId="0">
      <text>
        <r>
          <rPr>
            <b/>
            <sz val="9"/>
            <color indexed="81"/>
            <rFont val="Tahoma"/>
            <family val="2"/>
          </rPr>
          <t>Alejandro Sfrede:</t>
        </r>
        <r>
          <rPr>
            <sz val="9"/>
            <color indexed="81"/>
            <rFont val="Tahoma"/>
            <family val="2"/>
          </rPr>
          <t xml:space="preserve">
nivel de procesos incorporados para el proyecto  de desarrollo y seguimietno </t>
        </r>
      </text>
    </comment>
    <comment ref="F17" authorId="0">
      <text>
        <r>
          <rPr>
            <b/>
            <sz val="9"/>
            <color indexed="81"/>
            <rFont val="Tahoma"/>
            <family val="2"/>
          </rPr>
          <t>Alejandro Sfrede:</t>
        </r>
        <r>
          <rPr>
            <sz val="9"/>
            <color indexed="81"/>
            <rFont val="Tahoma"/>
            <family val="2"/>
          </rPr>
          <t xml:space="preserve">
Uso de herramientas de software </t>
        </r>
      </text>
    </comment>
    <comment ref="F18" authorId="0">
      <text>
        <r>
          <rPr>
            <b/>
            <sz val="9"/>
            <color indexed="81"/>
            <rFont val="Tahoma"/>
            <family val="2"/>
          </rPr>
          <t>Alejandro Sfrede:</t>
        </r>
        <r>
          <rPr>
            <sz val="9"/>
            <color indexed="81"/>
            <rFont val="Tahoma"/>
            <family val="2"/>
          </rPr>
          <t xml:space="preserve">
 limitación impuesta a programar .  Nivel de requerimient ode agenda.</t>
        </r>
      </text>
    </comment>
  </commentList>
</comments>
</file>

<file path=xl/sharedStrings.xml><?xml version="1.0" encoding="utf-8"?>
<sst xmlns="http://schemas.openxmlformats.org/spreadsheetml/2006/main" count="685" uniqueCount="351">
  <si>
    <t>Estado</t>
  </si>
  <si>
    <t>Prioridad</t>
  </si>
  <si>
    <t xml:space="preserve">Señal de Riesgos </t>
  </si>
  <si>
    <t xml:space="preserve">Probabilidad </t>
  </si>
  <si>
    <t>Item Impactado</t>
  </si>
  <si>
    <t>Responsable Asignado</t>
  </si>
  <si>
    <t>Acciones de mitigacion</t>
  </si>
  <si>
    <t>Acciones de Contigencia</t>
  </si>
  <si>
    <t>Bajo</t>
  </si>
  <si>
    <t>Medio</t>
  </si>
  <si>
    <t>Alto</t>
  </si>
  <si>
    <t>A definir</t>
  </si>
  <si>
    <t>Calidad</t>
  </si>
  <si>
    <t>Costo</t>
  </si>
  <si>
    <t>Tiempo</t>
  </si>
  <si>
    <t>Impacto</t>
  </si>
  <si>
    <t>INTERNOS</t>
  </si>
  <si>
    <t>Fecha Límite</t>
  </si>
  <si>
    <t>Fecha Detección</t>
  </si>
  <si>
    <t>Fecha Actualización</t>
  </si>
  <si>
    <t>EXTERNOS</t>
  </si>
  <si>
    <r>
      <t xml:space="preserve">Matriz de Riesgos del Proyecto: </t>
    </r>
    <r>
      <rPr>
        <b/>
        <i/>
        <sz val="16"/>
        <rFont val="Arial"/>
        <family val="2"/>
      </rPr>
      <t>&lt;Nombre del Proyecto&gt;</t>
    </r>
  </si>
  <si>
    <t>Matrices de Riesgos</t>
  </si>
  <si>
    <t>CÓDIGO</t>
  </si>
  <si>
    <t>F-PE-REQ-001-002</t>
  </si>
  <si>
    <t>VERSIÓN: 1.0.0 Beta</t>
  </si>
  <si>
    <t>Área de Proyectos</t>
  </si>
  <si>
    <t xml:space="preserve">Aprobó: </t>
  </si>
  <si>
    <t>Revisó:</t>
  </si>
  <si>
    <t xml:space="preserve">Elaboró: </t>
  </si>
  <si>
    <t>COCOMO Modifiers P.118</t>
  </si>
  <si>
    <t>VL</t>
  </si>
  <si>
    <t>LO</t>
  </si>
  <si>
    <t>NM</t>
  </si>
  <si>
    <t>HI</t>
  </si>
  <si>
    <t>VH</t>
  </si>
  <si>
    <t>XH</t>
  </si>
  <si>
    <t>Product attributes</t>
  </si>
  <si>
    <t>RELY</t>
  </si>
  <si>
    <t>Required Software Reliability</t>
  </si>
  <si>
    <t>DATA</t>
  </si>
  <si>
    <t>Data Base Size</t>
  </si>
  <si>
    <t>CPLX</t>
  </si>
  <si>
    <t>Product Complexity</t>
  </si>
  <si>
    <t>Computer attributes</t>
  </si>
  <si>
    <t>TIME</t>
  </si>
  <si>
    <t>Execution Time Constraint</t>
  </si>
  <si>
    <t>STOR</t>
  </si>
  <si>
    <t>Main Storage Constraint</t>
  </si>
  <si>
    <t>VIRT</t>
  </si>
  <si>
    <t>Virtual Machine Volatility</t>
  </si>
  <si>
    <t>TURN</t>
  </si>
  <si>
    <t>Computer Turn Around Time</t>
  </si>
  <si>
    <t>Personnel Attributes</t>
  </si>
  <si>
    <t>ACAP</t>
  </si>
  <si>
    <t>Analyst Capability</t>
  </si>
  <si>
    <t>AEXP</t>
  </si>
  <si>
    <t>Application Experience</t>
  </si>
  <si>
    <t>PCAP</t>
  </si>
  <si>
    <t>Programmer Capability</t>
  </si>
  <si>
    <t>VEXP</t>
  </si>
  <si>
    <t>Virtual Machine Experience</t>
  </si>
  <si>
    <t>LEXP</t>
  </si>
  <si>
    <t>Programming Language Experience</t>
  </si>
  <si>
    <t>Project Attributes</t>
  </si>
  <si>
    <t>MODP</t>
  </si>
  <si>
    <t>Modern Programming Practices</t>
  </si>
  <si>
    <t>TOOL</t>
  </si>
  <si>
    <t>Software Tools</t>
  </si>
  <si>
    <t>SCED</t>
  </si>
  <si>
    <t>Required Development Schedule</t>
  </si>
  <si>
    <t>COCOMO Effort And Schedule Constants P. 75</t>
  </si>
  <si>
    <t xml:space="preserve"> </t>
  </si>
  <si>
    <t>Development Mode</t>
  </si>
  <si>
    <t>Organic</t>
  </si>
  <si>
    <t>Semi-D</t>
  </si>
  <si>
    <t>Embedded</t>
  </si>
  <si>
    <t>MM Multiplier</t>
  </si>
  <si>
    <t>MM Power</t>
  </si>
  <si>
    <t>Schedule Multiplier</t>
  </si>
  <si>
    <t>Schedule Power</t>
  </si>
  <si>
    <t>Descripción</t>
  </si>
  <si>
    <t>Dato</t>
  </si>
  <si>
    <t>Factor</t>
  </si>
  <si>
    <t>F1 - Cantidad de Personas en el Equipo</t>
  </si>
  <si>
    <t>2+</t>
  </si>
  <si>
    <t>F2 - Complejidad de la Aplicación</t>
  </si>
  <si>
    <t>F3 - Número de Usuarios</t>
  </si>
  <si>
    <t>4+</t>
  </si>
  <si>
    <t>F4 - Experiencia del Equipo</t>
  </si>
  <si>
    <t>Senior</t>
  </si>
  <si>
    <t>Promedio</t>
  </si>
  <si>
    <t>Junior</t>
  </si>
  <si>
    <t>Trainee</t>
  </si>
  <si>
    <t>F5 - Tiempo Dedicado a Otras Tareas</t>
  </si>
  <si>
    <t>&lt;11%</t>
  </si>
  <si>
    <t>11%-25%</t>
  </si>
  <si>
    <t>26%-50%</t>
  </si>
  <si>
    <t>&gt;50%</t>
  </si>
  <si>
    <t>F6 - Conocimiento de los Usuarios</t>
  </si>
  <si>
    <t>Bien Definido</t>
  </si>
  <si>
    <t>No Claros</t>
  </si>
  <si>
    <t>Ninguno</t>
  </si>
  <si>
    <t>F7 - Disponibilidad de los Usuarios</t>
  </si>
  <si>
    <t>Permanente</t>
  </si>
  <si>
    <t>Poca</t>
  </si>
  <si>
    <t>Casi Nada</t>
  </si>
  <si>
    <t>F8 - Disponibilidad Datos de Prueba</t>
  </si>
  <si>
    <t>Factores Externos</t>
  </si>
  <si>
    <t xml:space="preserve"> Descripcion</t>
  </si>
  <si>
    <t>X-Ref</t>
  </si>
  <si>
    <t>Valor</t>
  </si>
  <si>
    <t>F10</t>
  </si>
  <si>
    <t xml:space="preserve">  Dificultad para construir el ambiente de prueba</t>
  </si>
  <si>
    <t>F10Alto</t>
  </si>
  <si>
    <t>F10Bajo</t>
  </si>
  <si>
    <t>F10Medio</t>
  </si>
  <si>
    <t>Nulo</t>
  </si>
  <si>
    <t>F10Nulo</t>
  </si>
  <si>
    <t>F1</t>
  </si>
  <si>
    <t xml:space="preserve">  Personas afectadas al requerimiento</t>
  </si>
  <si>
    <t>F11</t>
  </si>
  <si>
    <t xml:space="preserve">  Dificultad para ejecutar la prueba de módulo y unitaria</t>
  </si>
  <si>
    <t>F11Alto</t>
  </si>
  <si>
    <t>F11Bajo</t>
  </si>
  <si>
    <t>F11Medio</t>
  </si>
  <si>
    <t>F11Nulo</t>
  </si>
  <si>
    <t>F12</t>
  </si>
  <si>
    <t>F14</t>
  </si>
  <si>
    <t xml:space="preserve">  Calidad del entorno de desarrollo</t>
  </si>
  <si>
    <t>Bueno</t>
  </si>
  <si>
    <t>F14Bueno</t>
  </si>
  <si>
    <t>Malo</t>
  </si>
  <si>
    <t>F14Malo</t>
  </si>
  <si>
    <t>Muy bueno</t>
  </si>
  <si>
    <t>F14Muy bueno</t>
  </si>
  <si>
    <t>Pobre</t>
  </si>
  <si>
    <t>F14Pobre</t>
  </si>
  <si>
    <t>F13</t>
  </si>
  <si>
    <t>F15</t>
  </si>
  <si>
    <t xml:space="preserve">  Calidad del entorno de prueba</t>
  </si>
  <si>
    <t>F15Bueno</t>
  </si>
  <si>
    <t>F15Malo</t>
  </si>
  <si>
    <t>F15Muy bueno</t>
  </si>
  <si>
    <t>F15Pobre</t>
  </si>
  <si>
    <t>F14+</t>
  </si>
  <si>
    <t>F16</t>
  </si>
  <si>
    <t xml:space="preserve">  Tiempo improductivo de maquina</t>
  </si>
  <si>
    <t>F16Alto</t>
  </si>
  <si>
    <t>F16Bajo</t>
  </si>
  <si>
    <t>F16Medio</t>
  </si>
  <si>
    <t>F16Nulo</t>
  </si>
  <si>
    <t>F17</t>
  </si>
  <si>
    <t xml:space="preserve">  Nivel de Riesgo</t>
  </si>
  <si>
    <t>F17Alto</t>
  </si>
  <si>
    <t>F17Bajo</t>
  </si>
  <si>
    <t>F17Medio</t>
  </si>
  <si>
    <t>F17Nulo</t>
  </si>
  <si>
    <t>F18</t>
  </si>
  <si>
    <t>Volumen de Información a Procesar</t>
  </si>
  <si>
    <t>F18Alto</t>
  </si>
  <si>
    <t>F18Bajo</t>
  </si>
  <si>
    <t>F18Medio</t>
  </si>
  <si>
    <t>Muy alto</t>
  </si>
  <si>
    <t>F18Muy alto</t>
  </si>
  <si>
    <t>F2.1</t>
  </si>
  <si>
    <t xml:space="preserve">  Nivel de experiencia promedio Eq. Técnico</t>
  </si>
  <si>
    <t>F2.1Alto</t>
  </si>
  <si>
    <t>F2.1Bajo</t>
  </si>
  <si>
    <t>F2.1Medio</t>
  </si>
  <si>
    <t>F2.1Nulo</t>
  </si>
  <si>
    <t>F2.2</t>
  </si>
  <si>
    <t xml:space="preserve">  Nivel de experiencia promedio Eq. Funcional</t>
  </si>
  <si>
    <t>F2.2Alto</t>
  </si>
  <si>
    <t>F2.2Bajo</t>
  </si>
  <si>
    <t>F2.2Medio</t>
  </si>
  <si>
    <t>F2.2Nulo</t>
  </si>
  <si>
    <t>F2.3</t>
  </si>
  <si>
    <t xml:space="preserve">  Nivel de experiencia promedio Eq. Procesos</t>
  </si>
  <si>
    <t>F2.3Alto</t>
  </si>
  <si>
    <t>F2.3Bajo</t>
  </si>
  <si>
    <t>F2.3Medio</t>
  </si>
  <si>
    <t>F2.3Nulo</t>
  </si>
  <si>
    <t>F3</t>
  </si>
  <si>
    <t xml:space="preserve">  Tiempo dedicado a otras tareas</t>
  </si>
  <si>
    <t>F3Alto</t>
  </si>
  <si>
    <t>F3Bajo</t>
  </si>
  <si>
    <t>F3Medio</t>
  </si>
  <si>
    <t>F3Nulo</t>
  </si>
  <si>
    <t>F4</t>
  </si>
  <si>
    <t xml:space="preserve">  Número de usuarios involucrados</t>
  </si>
  <si>
    <t>F41</t>
  </si>
  <si>
    <t>F42</t>
  </si>
  <si>
    <t>F43</t>
  </si>
  <si>
    <t>F44+</t>
  </si>
  <si>
    <t>F5</t>
  </si>
  <si>
    <t xml:space="preserve">  Nivel de conocimiento promedio</t>
  </si>
  <si>
    <t>F5Alto</t>
  </si>
  <si>
    <t>F5Bajo</t>
  </si>
  <si>
    <t>F5Medio</t>
  </si>
  <si>
    <t>F5Nulo</t>
  </si>
  <si>
    <t>F6</t>
  </si>
  <si>
    <t xml:space="preserve">  Nivel de disponibilidad</t>
  </si>
  <si>
    <t>F6Alto</t>
  </si>
  <si>
    <t>F6Bajo</t>
  </si>
  <si>
    <t>F6Medio</t>
  </si>
  <si>
    <t>F6Nulo</t>
  </si>
  <si>
    <t>F7</t>
  </si>
  <si>
    <t xml:space="preserve">  Nivel de complejidad</t>
  </si>
  <si>
    <t>F7Alto</t>
  </si>
  <si>
    <t>F7Bajo</t>
  </si>
  <si>
    <t>F7Medio</t>
  </si>
  <si>
    <t>F7Nulo</t>
  </si>
  <si>
    <t>F8</t>
  </si>
  <si>
    <t xml:space="preserve">  Nivel de conocimiento</t>
  </si>
  <si>
    <t>F8Alto</t>
  </si>
  <si>
    <t>F8Bajo</t>
  </si>
  <si>
    <t>F8Medio</t>
  </si>
  <si>
    <t>F8Nulo</t>
  </si>
  <si>
    <t>F9</t>
  </si>
  <si>
    <t xml:space="preserve">  Nivel de documentación</t>
  </si>
  <si>
    <t>F9Alto</t>
  </si>
  <si>
    <t>F9Bajo</t>
  </si>
  <si>
    <t>F9Medio</t>
  </si>
  <si>
    <t>F9Nulo</t>
  </si>
  <si>
    <t xml:space="preserve">  Dificultad para ejecutar la prueba de integración</t>
  </si>
  <si>
    <t>F12Alto</t>
  </si>
  <si>
    <t>F12Bajo</t>
  </si>
  <si>
    <t>F12Medio</t>
  </si>
  <si>
    <t>F12Nulo</t>
  </si>
  <si>
    <t xml:space="preserve">  Dificultad para ejecutar la prueba de usuario</t>
  </si>
  <si>
    <t>F13Alto</t>
  </si>
  <si>
    <t>F13Bajo</t>
  </si>
  <si>
    <t>F13Medio</t>
  </si>
  <si>
    <t>F13Nulo</t>
  </si>
  <si>
    <t>f1</t>
  </si>
  <si>
    <t>f2</t>
  </si>
  <si>
    <t>f3</t>
  </si>
  <si>
    <t>f4</t>
  </si>
  <si>
    <t>f5</t>
  </si>
  <si>
    <t>f6</t>
  </si>
  <si>
    <t>f7</t>
  </si>
  <si>
    <t>F9 - Tiempo Improductivo de Máquina</t>
  </si>
  <si>
    <t>F10 - Líneas Reusables</t>
  </si>
  <si>
    <t>&lt;25%</t>
  </si>
  <si>
    <t>25%-49%</t>
  </si>
  <si>
    <t>50%-74%</t>
  </si>
  <si>
    <t>&gt;74%</t>
  </si>
  <si>
    <t>F11 - Reusabilidad Modelos de prueba</t>
  </si>
  <si>
    <t>reusab 0%</t>
  </si>
  <si>
    <t>reusab&gt;25%</t>
  </si>
  <si>
    <t>reusab&gt;50%</t>
  </si>
  <si>
    <t>reusab&gt;75%</t>
  </si>
  <si>
    <t>F12 - Conocimiento de la aplicación</t>
  </si>
  <si>
    <t>no transic</t>
  </si>
  <si>
    <t>en transic</t>
  </si>
  <si>
    <t>transicionada</t>
  </si>
  <si>
    <t>trans&amp;on-going</t>
  </si>
  <si>
    <t>F13 - Otros Sectores</t>
  </si>
  <si>
    <t>ninguno</t>
  </si>
  <si>
    <t>uno</t>
  </si>
  <si>
    <t xml:space="preserve">dos </t>
  </si>
  <si>
    <t>más de dos</t>
  </si>
  <si>
    <t>F14 - Tiempo improductivo de PC</t>
  </si>
  <si>
    <t>F15 - Riesgo de Implementación del Cambio</t>
  </si>
  <si>
    <t>f8</t>
  </si>
  <si>
    <t>f16</t>
  </si>
  <si>
    <t>f17</t>
  </si>
  <si>
    <t>f18</t>
  </si>
  <si>
    <t>Complejidad Prueba</t>
  </si>
  <si>
    <t>% Hs. Construcción</t>
  </si>
  <si>
    <t>% Hs. Prueba Unitaria</t>
  </si>
  <si>
    <t>Complejo</t>
  </si>
  <si>
    <t>Muy Complejo</t>
  </si>
  <si>
    <t>I.  Estimación General</t>
  </si>
  <si>
    <t>Tipo de Requerimiento</t>
  </si>
  <si>
    <t>Mediano</t>
  </si>
  <si>
    <t>Tipo de Estimación</t>
  </si>
  <si>
    <t>Standard</t>
  </si>
  <si>
    <t>Tipo de Pruebas</t>
  </si>
  <si>
    <t>Tipo de Capacitación</t>
  </si>
  <si>
    <t>http://sunset.usc.edu/research/COCOMOII/expert_cocomo/drivers.html</t>
  </si>
  <si>
    <t>Equipo de Trabajo</t>
  </si>
  <si>
    <t>Aplicación</t>
  </si>
  <si>
    <t>Contexto</t>
  </si>
  <si>
    <t xml:space="preserve">  Dificultad para ejecutar la prueba unitaria y de módulo</t>
  </si>
  <si>
    <t>Falta de definición del alcance</t>
  </si>
  <si>
    <t>Rotación de recursos</t>
  </si>
  <si>
    <t>Cambios en el alcance</t>
  </si>
  <si>
    <t>Falta de metodología del cliente</t>
  </si>
  <si>
    <t>Dedicacion a varios proyectos</t>
  </si>
  <si>
    <t>Tecnología desconocida</t>
  </si>
  <si>
    <t>Problemas de idioma (ingles)</t>
  </si>
  <si>
    <t>Falta de comunicación</t>
  </si>
  <si>
    <t>Diferencias culturales</t>
  </si>
  <si>
    <t>Diferencia horaria</t>
  </si>
  <si>
    <t>Complejidad y Tamaño de Base de datos</t>
  </si>
  <si>
    <t>Consumo de hardware y subsistemas en produccion</t>
  </si>
  <si>
    <t>Experiencia en Lenguaje de Desarrollo</t>
  </si>
  <si>
    <t>Conocimiento de herramientas de software, gestion y desarrollo</t>
  </si>
  <si>
    <t>Requerimientos de Calendario impuesto</t>
  </si>
  <si>
    <t>Conocimientos de metodologias</t>
  </si>
  <si>
    <t>Cliente / Usuario</t>
  </si>
  <si>
    <t xml:space="preserve">  Tiempo dedicado a otras tareas o proyectos</t>
  </si>
  <si>
    <t>Diferencia Horaria con equipos / clientes</t>
  </si>
  <si>
    <t>Problemas de comunicación por idioma/cultura</t>
  </si>
  <si>
    <t>Conocimiento del proceso de desarroll de software</t>
  </si>
  <si>
    <t>Tipo de contratacion del proyecto</t>
  </si>
  <si>
    <t xml:space="preserve">  Nivel de complejidad de aplicación</t>
  </si>
  <si>
    <t xml:space="preserve">  Nivel de complejidad de pruebas </t>
  </si>
  <si>
    <t>Equipo distribuidos o dependencias de equipos</t>
  </si>
  <si>
    <t xml:space="preserve"> Cantidad de Personas afectadas al proyecto</t>
  </si>
  <si>
    <t xml:space="preserve">  Nivel de documentación existente</t>
  </si>
  <si>
    <t xml:space="preserve">  Nivel de documentación a entregar</t>
  </si>
  <si>
    <t xml:space="preserve">  Tiempo improductivo de maquina / servers / pc</t>
  </si>
  <si>
    <t xml:space="preserve">  Nivel de riesgos  no contemplados</t>
  </si>
  <si>
    <t>Disponibilidad de datos de pruebas reales</t>
  </si>
  <si>
    <t xml:space="preserve">Nivel de Rotacion de recursos </t>
  </si>
  <si>
    <t>MB</t>
  </si>
  <si>
    <t>B</t>
  </si>
  <si>
    <t>A</t>
  </si>
  <si>
    <t>X</t>
  </si>
  <si>
    <t>N</t>
  </si>
  <si>
    <t>XX</t>
  </si>
  <si>
    <t xml:space="preserve">  Nivel de experiencia promedio Eq.  Procesos </t>
  </si>
  <si>
    <t>factor%</t>
  </si>
  <si>
    <t>1.- Falta de conocimiento en las herramientas de desarrollo por parte de los recursos asignados. El problema aparece si nos enteramos de esa falta de conocimiento cuando el proyecto ha iniciado.</t>
  </si>
  <si>
    <t>2.- Muchas veces los recursos no se encuentra estables en un único proyecto.</t>
  </si>
  <si>
    <t>3.- Aceptación de condiciones en contratos sin evaluar la factibilidad (caso Wurth)</t>
  </si>
  <si>
    <t>4.- Los tiempos de desarrollos propuestos generalmente no son los reales.</t>
  </si>
  <si>
    <t>5.- Es necesario que los desarrolladores tengan en claro el modelo completo para reutilizar funcionalidades.</t>
  </si>
  <si>
    <t>6.- El líder debe tener conocimientos técnicos de la herramienta de desarrollo para una mejor evaluación de las tareas.</t>
  </si>
  <si>
    <t>7.- En algunos casos se ha cambiado de líder de proyecto, algo que generalmente no es bien aceptado por el cliente porque pierde su persona de referencia.</t>
  </si>
  <si>
    <t>8.- Existen casos en los que el líder no participa de la negociación inicial con el cliente (caso Wurth) y luego se le deriva aquello que ya se negoció para que lo ejecute en tiempos que el propio líder no planificó.</t>
  </si>
  <si>
    <t>9.- Los recursos no se sienten cómodos cuando llevan a cabo desarrollos sin saber exactamente lo que están haciendo o sin conocer el proyecto desde un punto más general.</t>
  </si>
  <si>
    <t>10.- La figura de líder tiene que ser la única a la que el equipo debe responder, no deben existir responsabilidades ambiguas o poco claras.</t>
  </si>
  <si>
    <t>Requerimientos Legales del sistema o cliente</t>
  </si>
  <si>
    <t>Calidad de la Estimación de proyecto</t>
  </si>
  <si>
    <t xml:space="preserve">  Nivel de conocimiento del equipo al cliente </t>
  </si>
  <si>
    <t xml:space="preserve">  Cantidad de personal externo y/o no precencial</t>
  </si>
  <si>
    <t>Fiabilidad para el negocio necesaria para el soft (criticidad)</t>
  </si>
  <si>
    <t>Esperado</t>
  </si>
  <si>
    <t xml:space="preserve">  Nivel de conocimiento del negocio x equipo</t>
  </si>
  <si>
    <t>VAL</t>
  </si>
  <si>
    <t>TOP10</t>
  </si>
  <si>
    <t>MED</t>
  </si>
  <si>
    <t>PRO</t>
  </si>
  <si>
    <t>SINO</t>
  </si>
  <si>
    <t>RIESGO PROYECTO</t>
  </si>
  <si>
    <t>preg</t>
  </si>
  <si>
    <t>1,2,3,4,5</t>
  </si>
</sst>
</file>

<file path=xl/styles.xml><?xml version="1.0" encoding="utf-8"?>
<styleSheet xmlns="http://schemas.openxmlformats.org/spreadsheetml/2006/main">
  <numFmts count="1">
    <numFmt numFmtId="164" formatCode="0.0"/>
  </numFmts>
  <fonts count="37">
    <font>
      <sz val="10"/>
      <name val="Arial"/>
    </font>
    <font>
      <b/>
      <sz val="10"/>
      <name val="Arial"/>
      <family val="2"/>
    </font>
    <font>
      <sz val="10"/>
      <name val="Geneva"/>
    </font>
    <font>
      <b/>
      <sz val="8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Helv"/>
    </font>
    <font>
      <u/>
      <sz val="10"/>
      <color indexed="12"/>
      <name val="Arial"/>
    </font>
    <font>
      <b/>
      <sz val="16"/>
      <name val="Arial"/>
      <family val="2"/>
    </font>
    <font>
      <b/>
      <i/>
      <sz val="16"/>
      <name val="Arial"/>
      <family val="2"/>
    </font>
    <font>
      <sz val="10"/>
      <name val="Arial Black"/>
      <family val="2"/>
    </font>
    <font>
      <sz val="8"/>
      <name val="Arial"/>
      <family val="2"/>
    </font>
    <font>
      <b/>
      <sz val="14"/>
      <name val="Arial"/>
      <family val="2"/>
    </font>
    <font>
      <b/>
      <sz val="10"/>
      <name val="Arial"/>
    </font>
    <font>
      <i/>
      <sz val="10"/>
      <name val="Arial"/>
    </font>
    <font>
      <b/>
      <sz val="10"/>
      <name val="Times New Roman"/>
      <family val="1"/>
    </font>
    <font>
      <sz val="10"/>
      <name val="Times New Roman"/>
      <family val="1"/>
    </font>
    <font>
      <b/>
      <sz val="12"/>
      <name val="Book Antiqua"/>
      <family val="1"/>
    </font>
    <font>
      <sz val="10"/>
      <name val="Book Antiqua"/>
      <family val="1"/>
    </font>
    <font>
      <b/>
      <sz val="10"/>
      <name val="Book Antiqua"/>
      <family val="1"/>
    </font>
    <font>
      <b/>
      <sz val="8"/>
      <name val="Book Antiqua"/>
      <family val="1"/>
    </font>
    <font>
      <b/>
      <sz val="11"/>
      <name val="Book Antiqua"/>
      <family val="1"/>
    </font>
    <font>
      <u/>
      <sz val="10"/>
      <color indexed="1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sz val="10"/>
      <name val="Arial"/>
    </font>
    <font>
      <i/>
      <sz val="10"/>
      <name val="Arial"/>
      <family val="2"/>
    </font>
    <font>
      <b/>
      <i/>
      <sz val="10"/>
      <name val="Arial"/>
      <family val="2"/>
    </font>
    <font>
      <b/>
      <sz val="10"/>
      <color theme="3"/>
      <name val="Arial"/>
      <family val="2"/>
    </font>
    <font>
      <sz val="10"/>
      <color theme="0"/>
      <name val="Arial"/>
      <family val="2"/>
    </font>
    <font>
      <b/>
      <sz val="16"/>
      <color theme="3"/>
      <name val="Arial"/>
      <family val="2"/>
    </font>
    <font>
      <b/>
      <sz val="14"/>
      <color theme="3"/>
      <name val="Arial"/>
      <family val="2"/>
    </font>
    <font>
      <sz val="10"/>
      <color theme="3"/>
      <name val="Arial"/>
      <family val="2"/>
    </font>
    <font>
      <i/>
      <sz val="10"/>
      <color theme="3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indexed="42"/>
        <bgColor indexed="1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  <xf numFmtId="9" fontId="28" fillId="0" borderId="0" applyFont="0" applyFill="0" applyBorder="0" applyAlignment="0" applyProtection="0"/>
  </cellStyleXfs>
  <cellXfs count="298">
    <xf numFmtId="0" fontId="0" fillId="0" borderId="0" xfId="0"/>
    <xf numFmtId="0" fontId="0" fillId="0" borderId="1" xfId="0" applyBorder="1"/>
    <xf numFmtId="0" fontId="4" fillId="0" borderId="1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5" fillId="0" borderId="2" xfId="0" applyFont="1" applyBorder="1" applyAlignment="1">
      <alignment vertical="top" wrapText="1"/>
    </xf>
    <xf numFmtId="14" fontId="4" fillId="0" borderId="1" xfId="0" applyNumberFormat="1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4" fillId="0" borderId="1" xfId="0" applyFont="1" applyBorder="1" applyAlignment="1">
      <alignment horizontal="center" vertical="top" wrapText="1"/>
    </xf>
    <xf numFmtId="14" fontId="5" fillId="0" borderId="1" xfId="0" applyNumberFormat="1" applyFont="1" applyBorder="1" applyAlignment="1">
      <alignment horizontal="center" vertical="top" wrapText="1"/>
    </xf>
    <xf numFmtId="0" fontId="6" fillId="0" borderId="2" xfId="0" applyFont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4" fillId="0" borderId="3" xfId="0" applyFont="1" applyBorder="1" applyAlignment="1">
      <alignment vertical="top" wrapText="1"/>
    </xf>
    <xf numFmtId="0" fontId="5" fillId="0" borderId="3" xfId="0" applyFont="1" applyBorder="1" applyAlignment="1">
      <alignment vertical="top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textRotation="90" wrapText="1"/>
    </xf>
    <xf numFmtId="0" fontId="1" fillId="2" borderId="10" xfId="0" applyFont="1" applyFill="1" applyBorder="1" applyAlignment="1">
      <alignment horizontal="center" vertical="center" textRotation="90" wrapText="1"/>
    </xf>
    <xf numFmtId="0" fontId="1" fillId="2" borderId="11" xfId="0" applyFont="1" applyFill="1" applyBorder="1" applyAlignment="1">
      <alignment horizontal="center" vertical="center" textRotation="90" wrapText="1"/>
    </xf>
    <xf numFmtId="49" fontId="3" fillId="2" borderId="9" xfId="0" applyNumberFormat="1" applyFont="1" applyFill="1" applyBorder="1" applyAlignment="1">
      <alignment horizontal="center" vertical="center" textRotation="90" wrapText="1"/>
    </xf>
    <xf numFmtId="49" fontId="3" fillId="2" borderId="10" xfId="0" applyNumberFormat="1" applyFont="1" applyFill="1" applyBorder="1" applyAlignment="1">
      <alignment horizontal="center" vertical="center" textRotation="90" wrapText="1"/>
    </xf>
    <xf numFmtId="49" fontId="3" fillId="2" borderId="11" xfId="0" applyNumberFormat="1" applyFont="1" applyFill="1" applyBorder="1" applyAlignment="1">
      <alignment horizontal="center" vertical="center" textRotation="90" wrapText="1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2" borderId="16" xfId="0" applyFill="1" applyBorder="1" applyAlignment="1">
      <alignment horizontal="center"/>
    </xf>
    <xf numFmtId="14" fontId="4" fillId="0" borderId="16" xfId="0" applyNumberFormat="1" applyFont="1" applyBorder="1" applyAlignment="1">
      <alignment horizontal="center" vertical="top" wrapText="1"/>
    </xf>
    <xf numFmtId="0" fontId="5" fillId="0" borderId="17" xfId="0" applyFont="1" applyBorder="1" applyAlignment="1">
      <alignment vertical="top" wrapText="1"/>
    </xf>
    <xf numFmtId="0" fontId="4" fillId="0" borderId="17" xfId="0" applyFont="1" applyBorder="1" applyAlignment="1">
      <alignment vertical="top" wrapText="1"/>
    </xf>
    <xf numFmtId="0" fontId="4" fillId="0" borderId="18" xfId="0" applyFont="1" applyBorder="1" applyAlignment="1">
      <alignment vertical="top" wrapText="1"/>
    </xf>
    <xf numFmtId="14" fontId="4" fillId="0" borderId="19" xfId="0" applyNumberFormat="1" applyFont="1" applyBorder="1" applyAlignment="1">
      <alignment horizontal="center" vertical="top" wrapText="1"/>
    </xf>
    <xf numFmtId="14" fontId="4" fillId="0" borderId="20" xfId="0" applyNumberFormat="1" applyFont="1" applyBorder="1" applyAlignment="1">
      <alignment horizontal="center" vertical="top" wrapText="1"/>
    </xf>
    <xf numFmtId="0" fontId="4" fillId="0" borderId="20" xfId="0" applyFont="1" applyBorder="1" applyAlignment="1">
      <alignment horizontal="center" vertical="top" wrapText="1"/>
    </xf>
    <xf numFmtId="0" fontId="0" fillId="0" borderId="20" xfId="0" applyBorder="1"/>
    <xf numFmtId="0" fontId="4" fillId="0" borderId="21" xfId="0" applyFont="1" applyBorder="1" applyAlignment="1">
      <alignment horizontal="justify" vertical="top" wrapText="1"/>
    </xf>
    <xf numFmtId="0" fontId="0" fillId="0" borderId="22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 wrapText="1"/>
    </xf>
    <xf numFmtId="0" fontId="4" fillId="0" borderId="25" xfId="0" applyFont="1" applyBorder="1" applyAlignment="1">
      <alignment vertical="top" wrapText="1"/>
    </xf>
    <xf numFmtId="0" fontId="4" fillId="0" borderId="26" xfId="0" applyFont="1" applyBorder="1" applyAlignment="1">
      <alignment vertical="top" wrapText="1"/>
    </xf>
    <xf numFmtId="0" fontId="8" fillId="0" borderId="0" xfId="0" applyFont="1" applyAlignment="1">
      <alignment horizontal="left"/>
    </xf>
    <xf numFmtId="0" fontId="11" fillId="3" borderId="27" xfId="0" applyFont="1" applyFill="1" applyBorder="1" applyAlignment="1">
      <alignment horizontal="center" wrapText="1"/>
    </xf>
    <xf numFmtId="14" fontId="3" fillId="3" borderId="27" xfId="0" applyNumberFormat="1" applyFont="1" applyFill="1" applyBorder="1" applyAlignment="1">
      <alignment horizontal="center" wrapText="1"/>
    </xf>
    <xf numFmtId="0" fontId="3" fillId="3" borderId="27" xfId="0" applyFont="1" applyFill="1" applyBorder="1" applyAlignment="1">
      <alignment horizontal="center" wrapText="1"/>
    </xf>
    <xf numFmtId="0" fontId="11" fillId="3" borderId="28" xfId="0" applyFont="1" applyFill="1" applyBorder="1" applyAlignment="1">
      <alignment horizontal="center" wrapText="1"/>
    </xf>
    <xf numFmtId="0" fontId="11" fillId="3" borderId="0" xfId="0" applyFont="1" applyFill="1" applyBorder="1" applyAlignment="1">
      <alignment horizontal="center" wrapText="1"/>
    </xf>
    <xf numFmtId="14" fontId="3" fillId="3" borderId="0" xfId="0" applyNumberFormat="1" applyFont="1" applyFill="1" applyBorder="1" applyAlignment="1">
      <alignment horizontal="center" wrapText="1"/>
    </xf>
    <xf numFmtId="0" fontId="3" fillId="3" borderId="0" xfId="0" applyFont="1" applyFill="1" applyBorder="1" applyAlignment="1">
      <alignment horizontal="center" wrapText="1"/>
    </xf>
    <xf numFmtId="0" fontId="12" fillId="0" borderId="0" xfId="0" applyFont="1"/>
    <xf numFmtId="0" fontId="0" fillId="0" borderId="52" xfId="0" applyBorder="1"/>
    <xf numFmtId="0" fontId="13" fillId="0" borderId="52" xfId="0" applyFont="1" applyBorder="1" applyAlignment="1">
      <alignment horizontal="right"/>
    </xf>
    <xf numFmtId="0" fontId="13" fillId="0" borderId="1" xfId="0" applyFont="1" applyBorder="1"/>
    <xf numFmtId="2" fontId="0" fillId="4" borderId="1" xfId="0" applyNumberFormat="1" applyFill="1" applyBorder="1"/>
    <xf numFmtId="2" fontId="14" fillId="4" borderId="1" xfId="0" applyNumberFormat="1" applyFont="1" applyFill="1" applyBorder="1"/>
    <xf numFmtId="0" fontId="0" fillId="0" borderId="10" xfId="0" applyBorder="1"/>
    <xf numFmtId="0" fontId="13" fillId="0" borderId="10" xfId="0" applyFont="1" applyBorder="1"/>
    <xf numFmtId="2" fontId="0" fillId="4" borderId="10" xfId="0" applyNumberFormat="1" applyFill="1" applyBorder="1"/>
    <xf numFmtId="2" fontId="14" fillId="4" borderId="10" xfId="0" applyNumberFormat="1" applyFont="1" applyFill="1" applyBorder="1"/>
    <xf numFmtId="0" fontId="0" fillId="0" borderId="40" xfId="0" applyBorder="1"/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/>
    <xf numFmtId="0" fontId="16" fillId="0" borderId="0" xfId="0" applyFont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0" borderId="0" xfId="0" applyFont="1" applyAlignment="1">
      <alignment horizontal="right"/>
    </xf>
    <xf numFmtId="0" fontId="17" fillId="0" borderId="0" xfId="0" applyFont="1" applyAlignment="1" applyProtection="1">
      <alignment vertical="center"/>
    </xf>
    <xf numFmtId="0" fontId="18" fillId="0" borderId="0" xfId="0" applyFont="1" applyAlignment="1" applyProtection="1">
      <alignment horizontal="left" vertical="center"/>
    </xf>
    <xf numFmtId="0" fontId="18" fillId="0" borderId="0" xfId="0" applyFont="1" applyAlignment="1" applyProtection="1">
      <alignment vertical="center"/>
    </xf>
    <xf numFmtId="0" fontId="18" fillId="0" borderId="0" xfId="0" applyFont="1" applyAlignment="1" applyProtection="1">
      <alignment horizontal="center" vertical="center"/>
    </xf>
    <xf numFmtId="0" fontId="19" fillId="2" borderId="3" xfId="0" applyFont="1" applyFill="1" applyBorder="1" applyAlignment="1" applyProtection="1">
      <alignment vertical="center"/>
    </xf>
    <xf numFmtId="0" fontId="19" fillId="2" borderId="40" xfId="0" applyFont="1" applyFill="1" applyBorder="1" applyAlignment="1" applyProtection="1">
      <alignment vertical="center"/>
    </xf>
    <xf numFmtId="0" fontId="19" fillId="2" borderId="12" xfId="0" applyFont="1" applyFill="1" applyBorder="1" applyAlignment="1" applyProtection="1">
      <alignment horizontal="left" vertical="center"/>
    </xf>
    <xf numFmtId="0" fontId="19" fillId="2" borderId="1" xfId="0" applyFont="1" applyFill="1" applyBorder="1" applyAlignment="1" applyProtection="1">
      <alignment horizontal="center" vertical="center"/>
    </xf>
    <xf numFmtId="0" fontId="18" fillId="5" borderId="53" xfId="0" applyFont="1" applyFill="1" applyBorder="1" applyAlignment="1" applyProtection="1">
      <alignment vertical="center"/>
    </xf>
    <xf numFmtId="0" fontId="18" fillId="5" borderId="55" xfId="0" applyFont="1" applyFill="1" applyBorder="1" applyAlignment="1" applyProtection="1">
      <alignment horizontal="left" vertical="center"/>
    </xf>
    <xf numFmtId="0" fontId="18" fillId="6" borderId="14" xfId="0" applyFont="1" applyFill="1" applyBorder="1" applyAlignment="1" applyProtection="1">
      <alignment horizontal="center" vertical="center"/>
    </xf>
    <xf numFmtId="0" fontId="18" fillId="5" borderId="56" xfId="0" applyFont="1" applyFill="1" applyBorder="1" applyAlignment="1" applyProtection="1">
      <alignment vertical="center"/>
    </xf>
    <xf numFmtId="0" fontId="18" fillId="5" borderId="0" xfId="0" applyFont="1" applyFill="1" applyBorder="1" applyAlignment="1" applyProtection="1">
      <alignment vertical="center"/>
    </xf>
    <xf numFmtId="0" fontId="18" fillId="5" borderId="57" xfId="0" applyFont="1" applyFill="1" applyBorder="1" applyAlignment="1" applyProtection="1">
      <alignment horizontal="left" vertical="center"/>
    </xf>
    <xf numFmtId="0" fontId="18" fillId="6" borderId="58" xfId="0" applyFont="1" applyFill="1" applyBorder="1" applyAlignment="1" applyProtection="1">
      <alignment horizontal="center" vertical="center"/>
    </xf>
    <xf numFmtId="0" fontId="18" fillId="5" borderId="0" xfId="0" applyFont="1" applyFill="1" applyBorder="1" applyAlignment="1" applyProtection="1">
      <alignment horizontal="left" vertical="center"/>
    </xf>
    <xf numFmtId="0" fontId="18" fillId="5" borderId="56" xfId="0" applyFont="1" applyFill="1" applyBorder="1" applyAlignment="1" applyProtection="1">
      <alignment horizontal="left" vertical="center"/>
    </xf>
    <xf numFmtId="0" fontId="18" fillId="5" borderId="38" xfId="0" applyFont="1" applyFill="1" applyBorder="1" applyAlignment="1" applyProtection="1">
      <alignment vertical="center"/>
    </xf>
    <xf numFmtId="0" fontId="18" fillId="5" borderId="39" xfId="0" applyFont="1" applyFill="1" applyBorder="1" applyAlignment="1" applyProtection="1">
      <alignment vertical="center"/>
    </xf>
    <xf numFmtId="0" fontId="18" fillId="5" borderId="59" xfId="0" applyFont="1" applyFill="1" applyBorder="1" applyAlignment="1" applyProtection="1">
      <alignment horizontal="left" vertical="center"/>
    </xf>
    <xf numFmtId="0" fontId="18" fillId="6" borderId="2" xfId="0" applyFont="1" applyFill="1" applyBorder="1" applyAlignment="1" applyProtection="1">
      <alignment horizontal="center" vertical="center"/>
    </xf>
    <xf numFmtId="0" fontId="18" fillId="5" borderId="60" xfId="0" applyFont="1" applyFill="1" applyBorder="1" applyAlignment="1" applyProtection="1">
      <alignment vertical="center"/>
    </xf>
    <xf numFmtId="0" fontId="18" fillId="5" borderId="61" xfId="0" applyFont="1" applyFill="1" applyBorder="1" applyAlignment="1" applyProtection="1">
      <alignment vertical="center"/>
    </xf>
    <xf numFmtId="0" fontId="18" fillId="5" borderId="62" xfId="0" applyFont="1" applyFill="1" applyBorder="1" applyAlignment="1" applyProtection="1">
      <alignment horizontal="left" vertical="center"/>
    </xf>
    <xf numFmtId="0" fontId="18" fillId="6" borderId="63" xfId="0" applyFont="1" applyFill="1" applyBorder="1" applyAlignment="1" applyProtection="1">
      <alignment horizontal="center" vertical="center"/>
    </xf>
    <xf numFmtId="0" fontId="18" fillId="5" borderId="64" xfId="0" applyFont="1" applyFill="1" applyBorder="1" applyAlignment="1" applyProtection="1">
      <alignment vertical="center"/>
    </xf>
    <xf numFmtId="0" fontId="18" fillId="5" borderId="65" xfId="0" applyFont="1" applyFill="1" applyBorder="1" applyAlignment="1" applyProtection="1">
      <alignment vertical="center"/>
    </xf>
    <xf numFmtId="0" fontId="18" fillId="5" borderId="66" xfId="0" applyFont="1" applyFill="1" applyBorder="1" applyAlignment="1" applyProtection="1">
      <alignment horizontal="left" vertical="center"/>
    </xf>
    <xf numFmtId="0" fontId="18" fillId="6" borderId="67" xfId="0" applyFont="1" applyFill="1" applyBorder="1" applyAlignment="1" applyProtection="1">
      <alignment horizontal="center" vertical="center"/>
    </xf>
    <xf numFmtId="0" fontId="18" fillId="5" borderId="68" xfId="0" applyFont="1" applyFill="1" applyBorder="1" applyAlignment="1" applyProtection="1">
      <alignment vertical="center"/>
    </xf>
    <xf numFmtId="0" fontId="18" fillId="5" borderId="69" xfId="0" applyFont="1" applyFill="1" applyBorder="1" applyAlignment="1" applyProtection="1">
      <alignment vertical="center"/>
    </xf>
    <xf numFmtId="0" fontId="18" fillId="5" borderId="70" xfId="0" applyFont="1" applyFill="1" applyBorder="1" applyAlignment="1" applyProtection="1">
      <alignment horizontal="left" vertical="center"/>
    </xf>
    <xf numFmtId="0" fontId="18" fillId="6" borderId="71" xfId="0" applyFont="1" applyFill="1" applyBorder="1" applyAlignment="1" applyProtection="1">
      <alignment horizontal="center" vertical="center"/>
    </xf>
    <xf numFmtId="0" fontId="0" fillId="7" borderId="0" xfId="0" applyFill="1"/>
    <xf numFmtId="0" fontId="16" fillId="7" borderId="0" xfId="0" applyFont="1" applyFill="1"/>
    <xf numFmtId="0" fontId="16" fillId="7" borderId="0" xfId="0" applyFont="1" applyFill="1" applyAlignment="1">
      <alignment horizontal="center"/>
    </xf>
    <xf numFmtId="0" fontId="18" fillId="0" borderId="0" xfId="0" applyFont="1"/>
    <xf numFmtId="0" fontId="18" fillId="0" borderId="0" xfId="0" applyFont="1" applyAlignment="1">
      <alignment horizontal="center"/>
    </xf>
    <xf numFmtId="0" fontId="1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0" xfId="0" applyFont="1"/>
    <xf numFmtId="0" fontId="4" fillId="7" borderId="0" xfId="0" applyFont="1" applyFill="1"/>
    <xf numFmtId="0" fontId="18" fillId="7" borderId="0" xfId="0" applyFont="1" applyFill="1"/>
    <xf numFmtId="0" fontId="0" fillId="7" borderId="0" xfId="0" applyFill="1" applyAlignment="1">
      <alignment horizontal="center"/>
    </xf>
    <xf numFmtId="0" fontId="18" fillId="9" borderId="56" xfId="0" applyFont="1" applyFill="1" applyBorder="1" applyAlignment="1" applyProtection="1">
      <alignment vertical="center"/>
    </xf>
    <xf numFmtId="0" fontId="18" fillId="9" borderId="38" xfId="0" applyFont="1" applyFill="1" applyBorder="1" applyAlignment="1" applyProtection="1">
      <alignment vertical="center"/>
    </xf>
    <xf numFmtId="0" fontId="0" fillId="8" borderId="0" xfId="0" applyFill="1"/>
    <xf numFmtId="0" fontId="18" fillId="8" borderId="0" xfId="0" applyFont="1" applyFill="1"/>
    <xf numFmtId="0" fontId="0" fillId="8" borderId="0" xfId="0" applyFill="1" applyAlignment="1">
      <alignment horizontal="center"/>
    </xf>
    <xf numFmtId="0" fontId="18" fillId="8" borderId="0" xfId="0" applyFont="1" applyFill="1" applyAlignment="1">
      <alignment horizontal="center"/>
    </xf>
    <xf numFmtId="0" fontId="16" fillId="8" borderId="0" xfId="0" applyFont="1" applyFill="1"/>
    <xf numFmtId="0" fontId="16" fillId="8" borderId="0" xfId="0" applyFont="1" applyFill="1" applyAlignment="1">
      <alignment horizontal="center"/>
    </xf>
    <xf numFmtId="0" fontId="4" fillId="8" borderId="0" xfId="0" applyFont="1" applyFill="1"/>
    <xf numFmtId="0" fontId="20" fillId="2" borderId="1" xfId="0" applyFont="1" applyFill="1" applyBorder="1" applyAlignment="1" applyProtection="1">
      <alignment horizontal="left" vertical="center" wrapText="1"/>
    </xf>
    <xf numFmtId="0" fontId="0" fillId="5" borderId="1" xfId="0" applyFill="1" applyBorder="1" applyProtection="1"/>
    <xf numFmtId="9" fontId="18" fillId="6" borderId="1" xfId="0" applyNumberFormat="1" applyFont="1" applyFill="1" applyBorder="1" applyAlignment="1" applyProtection="1">
      <alignment horizontal="center" vertical="center"/>
    </xf>
    <xf numFmtId="9" fontId="18" fillId="5" borderId="1" xfId="0" applyNumberFormat="1" applyFont="1" applyFill="1" applyBorder="1" applyAlignment="1" applyProtection="1">
      <alignment horizontal="center" vertical="center"/>
    </xf>
    <xf numFmtId="0" fontId="19" fillId="0" borderId="0" xfId="0" applyFont="1" applyAlignment="1" applyProtection="1">
      <alignment vertical="center"/>
    </xf>
    <xf numFmtId="0" fontId="21" fillId="0" borderId="0" xfId="0" applyFont="1" applyAlignment="1" applyProtection="1">
      <alignment vertical="center"/>
    </xf>
    <xf numFmtId="0" fontId="18" fillId="0" borderId="0" xfId="0" applyFont="1" applyFill="1" applyBorder="1" applyAlignment="1" applyProtection="1">
      <alignment vertical="center"/>
    </xf>
    <xf numFmtId="0" fontId="0" fillId="0" borderId="0" xfId="0" applyBorder="1"/>
    <xf numFmtId="0" fontId="18" fillId="0" borderId="0" xfId="0" applyFont="1" applyBorder="1" applyAlignment="1" applyProtection="1">
      <alignment vertical="center"/>
    </xf>
    <xf numFmtId="0" fontId="22" fillId="0" borderId="0" xfId="1" applyFont="1" applyAlignment="1" applyProtection="1"/>
    <xf numFmtId="0" fontId="18" fillId="2" borderId="3" xfId="0" applyFont="1" applyFill="1" applyBorder="1" applyAlignment="1" applyProtection="1">
      <alignment horizontal="left" vertical="center"/>
    </xf>
    <xf numFmtId="0" fontId="18" fillId="2" borderId="38" xfId="0" applyFont="1" applyFill="1" applyBorder="1" applyAlignment="1" applyProtection="1">
      <alignment vertical="center"/>
    </xf>
    <xf numFmtId="0" fontId="18" fillId="2" borderId="56" xfId="0" applyFont="1" applyFill="1" applyBorder="1" applyAlignment="1" applyProtection="1">
      <alignment vertical="center"/>
    </xf>
    <xf numFmtId="0" fontId="4" fillId="0" borderId="0" xfId="0" applyFont="1" applyAlignment="1">
      <alignment wrapText="1"/>
    </xf>
    <xf numFmtId="9" fontId="4" fillId="0" borderId="0" xfId="0" applyNumberFormat="1" applyFont="1" applyAlignment="1">
      <alignment wrapText="1"/>
    </xf>
    <xf numFmtId="0" fontId="4" fillId="0" borderId="1" xfId="0" applyFont="1" applyBorder="1"/>
    <xf numFmtId="0" fontId="13" fillId="11" borderId="1" xfId="0" applyFont="1" applyFill="1" applyBorder="1"/>
    <xf numFmtId="0" fontId="0" fillId="11" borderId="1" xfId="0" applyFill="1" applyBorder="1"/>
    <xf numFmtId="0" fontId="13" fillId="11" borderId="10" xfId="0" applyFont="1" applyFill="1" applyBorder="1"/>
    <xf numFmtId="0" fontId="0" fillId="11" borderId="10" xfId="0" applyFill="1" applyBorder="1"/>
    <xf numFmtId="0" fontId="4" fillId="0" borderId="10" xfId="0" applyFont="1" applyBorder="1"/>
    <xf numFmtId="0" fontId="4" fillId="13" borderId="1" xfId="0" applyFont="1" applyFill="1" applyBorder="1"/>
    <xf numFmtId="0" fontId="0" fillId="13" borderId="10" xfId="0" applyFill="1" applyBorder="1"/>
    <xf numFmtId="0" fontId="0" fillId="13" borderId="1" xfId="0" applyFill="1" applyBorder="1"/>
    <xf numFmtId="0" fontId="4" fillId="13" borderId="10" xfId="0" applyFont="1" applyFill="1" applyBorder="1"/>
    <xf numFmtId="0" fontId="4" fillId="15" borderId="0" xfId="0" applyFont="1" applyFill="1" applyAlignment="1">
      <alignment wrapText="1"/>
    </xf>
    <xf numFmtId="0" fontId="25" fillId="0" borderId="0" xfId="0" applyFont="1"/>
    <xf numFmtId="0" fontId="4" fillId="0" borderId="0" xfId="0" applyFont="1" applyFill="1" applyBorder="1"/>
    <xf numFmtId="0" fontId="19" fillId="2" borderId="0" xfId="0" applyFont="1" applyFill="1" applyBorder="1" applyAlignment="1" applyProtection="1">
      <alignment vertical="center"/>
    </xf>
    <xf numFmtId="0" fontId="18" fillId="5" borderId="38" xfId="0" applyFont="1" applyFill="1" applyBorder="1" applyAlignment="1" applyProtection="1">
      <alignment horizontal="left" vertical="center"/>
    </xf>
    <xf numFmtId="0" fontId="18" fillId="5" borderId="54" xfId="0" applyFont="1" applyFill="1" applyBorder="1" applyAlignment="1" applyProtection="1">
      <alignment horizontal="left" vertical="center"/>
    </xf>
    <xf numFmtId="0" fontId="0" fillId="14" borderId="0" xfId="0" applyFill="1"/>
    <xf numFmtId="2" fontId="29" fillId="12" borderId="1" xfId="0" applyNumberFormat="1" applyFont="1" applyFill="1" applyBorder="1"/>
    <xf numFmtId="2" fontId="30" fillId="12" borderId="1" xfId="0" applyNumberFormat="1" applyFont="1" applyFill="1" applyBorder="1"/>
    <xf numFmtId="164" fontId="29" fillId="12" borderId="1" xfId="0" applyNumberFormat="1" applyFont="1" applyFill="1" applyBorder="1"/>
    <xf numFmtId="164" fontId="30" fillId="12" borderId="1" xfId="0" applyNumberFormat="1" applyFont="1" applyFill="1" applyBorder="1"/>
    <xf numFmtId="2" fontId="29" fillId="17" borderId="1" xfId="0" applyNumberFormat="1" applyFont="1" applyFill="1" applyBorder="1"/>
    <xf numFmtId="2" fontId="29" fillId="17" borderId="10" xfId="0" applyNumberFormat="1" applyFont="1" applyFill="1" applyBorder="1"/>
    <xf numFmtId="164" fontId="29" fillId="17" borderId="1" xfId="0" applyNumberFormat="1" applyFont="1" applyFill="1" applyBorder="1"/>
    <xf numFmtId="164" fontId="29" fillId="17" borderId="10" xfId="0" applyNumberFormat="1" applyFont="1" applyFill="1" applyBorder="1"/>
    <xf numFmtId="2" fontId="29" fillId="12" borderId="0" xfId="0" applyNumberFormat="1" applyFont="1" applyFill="1" applyBorder="1"/>
    <xf numFmtId="2" fontId="0" fillId="0" borderId="0" xfId="0" applyNumberFormat="1"/>
    <xf numFmtId="2" fontId="29" fillId="17" borderId="1" xfId="0" applyNumberFormat="1" applyFont="1" applyFill="1" applyBorder="1" applyAlignment="1">
      <alignment horizontal="center"/>
    </xf>
    <xf numFmtId="2" fontId="29" fillId="17" borderId="3" xfId="0" applyNumberFormat="1" applyFont="1" applyFill="1" applyBorder="1" applyAlignment="1">
      <alignment horizontal="center"/>
    </xf>
    <xf numFmtId="2" fontId="29" fillId="12" borderId="1" xfId="0" applyNumberFormat="1" applyFont="1" applyFill="1" applyBorder="1" applyAlignment="1">
      <alignment horizontal="center"/>
    </xf>
    <xf numFmtId="2" fontId="29" fillId="12" borderId="3" xfId="0" applyNumberFormat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0" fontId="27" fillId="16" borderId="5" xfId="0" applyFont="1" applyFill="1" applyBorder="1" applyAlignment="1">
      <alignment horizontal="center"/>
    </xf>
    <xf numFmtId="0" fontId="27" fillId="16" borderId="6" xfId="0" applyFont="1" applyFill="1" applyBorder="1" applyAlignment="1">
      <alignment horizontal="center"/>
    </xf>
    <xf numFmtId="2" fontId="29" fillId="12" borderId="8" xfId="0" applyNumberFormat="1" applyFont="1" applyFill="1" applyBorder="1"/>
    <xf numFmtId="2" fontId="29" fillId="17" borderId="8" xfId="0" applyNumberFormat="1" applyFont="1" applyFill="1" applyBorder="1"/>
    <xf numFmtId="2" fontId="30" fillId="12" borderId="8" xfId="0" applyNumberFormat="1" applyFont="1" applyFill="1" applyBorder="1"/>
    <xf numFmtId="2" fontId="29" fillId="17" borderId="11" xfId="0" applyNumberFormat="1" applyFont="1" applyFill="1" applyBorder="1"/>
    <xf numFmtId="0" fontId="31" fillId="7" borderId="76" xfId="0" applyFont="1" applyFill="1" applyBorder="1" applyAlignment="1">
      <alignment horizontal="center"/>
    </xf>
    <xf numFmtId="2" fontId="29" fillId="12" borderId="77" xfId="0" applyNumberFormat="1" applyFont="1" applyFill="1" applyBorder="1"/>
    <xf numFmtId="2" fontId="1" fillId="7" borderId="77" xfId="0" applyNumberFormat="1" applyFont="1" applyFill="1" applyBorder="1" applyAlignment="1">
      <alignment horizontal="center"/>
    </xf>
    <xf numFmtId="2" fontId="1" fillId="12" borderId="77" xfId="0" applyNumberFormat="1" applyFont="1" applyFill="1" applyBorder="1" applyAlignment="1">
      <alignment horizontal="center"/>
    </xf>
    <xf numFmtId="2" fontId="1" fillId="7" borderId="78" xfId="0" applyNumberFormat="1" applyFont="1" applyFill="1" applyBorder="1" applyAlignment="1">
      <alignment horizontal="center"/>
    </xf>
    <xf numFmtId="0" fontId="32" fillId="16" borderId="4" xfId="0" applyFont="1" applyFill="1" applyBorder="1" applyAlignment="1">
      <alignment horizontal="center"/>
    </xf>
    <xf numFmtId="0" fontId="32" fillId="16" borderId="5" xfId="0" applyFont="1" applyFill="1" applyBorder="1" applyAlignment="1">
      <alignment horizontal="center"/>
    </xf>
    <xf numFmtId="2" fontId="29" fillId="12" borderId="7" xfId="0" applyNumberFormat="1" applyFont="1" applyFill="1" applyBorder="1"/>
    <xf numFmtId="2" fontId="29" fillId="17" borderId="7" xfId="0" applyNumberFormat="1" applyFont="1" applyFill="1" applyBorder="1" applyAlignment="1">
      <alignment horizontal="center"/>
    </xf>
    <xf numFmtId="2" fontId="29" fillId="12" borderId="7" xfId="0" applyNumberFormat="1" applyFont="1" applyFill="1" applyBorder="1" applyAlignment="1">
      <alignment horizontal="center"/>
    </xf>
    <xf numFmtId="2" fontId="29" fillId="17" borderId="9" xfId="0" applyNumberFormat="1" applyFont="1" applyFill="1" applyBorder="1" applyAlignment="1">
      <alignment horizontal="center"/>
    </xf>
    <xf numFmtId="2" fontId="29" fillId="17" borderId="10" xfId="0" applyNumberFormat="1" applyFont="1" applyFill="1" applyBorder="1" applyAlignment="1">
      <alignment horizontal="center"/>
    </xf>
    <xf numFmtId="2" fontId="29" fillId="17" borderId="75" xfId="0" applyNumberFormat="1" applyFont="1" applyFill="1" applyBorder="1" applyAlignment="1">
      <alignment horizontal="center"/>
    </xf>
    <xf numFmtId="2" fontId="27" fillId="16" borderId="79" xfId="0" applyNumberFormat="1" applyFont="1" applyFill="1" applyBorder="1" applyAlignment="1">
      <alignment horizontal="center"/>
    </xf>
    <xf numFmtId="2" fontId="27" fillId="16" borderId="1" xfId="0" applyNumberFormat="1" applyFont="1" applyFill="1" applyBorder="1" applyAlignment="1">
      <alignment horizontal="center"/>
    </xf>
    <xf numFmtId="2" fontId="4" fillId="0" borderId="0" xfId="0" applyNumberFormat="1" applyFont="1"/>
    <xf numFmtId="0" fontId="33" fillId="0" borderId="80" xfId="0" applyFont="1" applyBorder="1"/>
    <xf numFmtId="0" fontId="33" fillId="0" borderId="81" xfId="0" applyFont="1" applyBorder="1"/>
    <xf numFmtId="9" fontId="34" fillId="0" borderId="35" xfId="2" applyFont="1" applyBorder="1"/>
    <xf numFmtId="0" fontId="4" fillId="18" borderId="0" xfId="0" applyFont="1" applyFill="1"/>
    <xf numFmtId="2" fontId="1" fillId="18" borderId="0" xfId="0" applyNumberFormat="1" applyFont="1" applyFill="1" applyAlignment="1">
      <alignment horizontal="center"/>
    </xf>
    <xf numFmtId="2" fontId="0" fillId="18" borderId="0" xfId="0" applyNumberFormat="1" applyFill="1" applyAlignment="1">
      <alignment horizontal="center"/>
    </xf>
    <xf numFmtId="2" fontId="36" fillId="17" borderId="3" xfId="0" applyNumberFormat="1" applyFont="1" applyFill="1" applyBorder="1" applyAlignment="1">
      <alignment horizontal="center"/>
    </xf>
    <xf numFmtId="2" fontId="36" fillId="17" borderId="1" xfId="0" applyNumberFormat="1" applyFont="1" applyFill="1" applyBorder="1" applyAlignment="1">
      <alignment horizontal="center"/>
    </xf>
    <xf numFmtId="2" fontId="36" fillId="12" borderId="3" xfId="0" applyNumberFormat="1" applyFont="1" applyFill="1" applyBorder="1" applyAlignment="1">
      <alignment horizontal="center"/>
    </xf>
    <xf numFmtId="2" fontId="27" fillId="18" borderId="1" xfId="0" applyNumberFormat="1" applyFont="1" applyFill="1" applyBorder="1" applyAlignment="1" applyProtection="1">
      <alignment horizontal="center"/>
    </xf>
    <xf numFmtId="2" fontId="29" fillId="12" borderId="1" xfId="0" applyNumberFormat="1" applyFont="1" applyFill="1" applyBorder="1" applyAlignment="1" applyProtection="1">
      <alignment horizontal="center"/>
    </xf>
    <xf numFmtId="2" fontId="31" fillId="17" borderId="1" xfId="0" applyNumberFormat="1" applyFont="1" applyFill="1" applyBorder="1" applyAlignment="1" applyProtection="1">
      <alignment horizontal="center"/>
    </xf>
    <xf numFmtId="2" fontId="35" fillId="12" borderId="3" xfId="0" applyNumberFormat="1" applyFont="1" applyFill="1" applyBorder="1" applyAlignment="1" applyProtection="1">
      <alignment horizontal="center"/>
    </xf>
    <xf numFmtId="0" fontId="33" fillId="0" borderId="0" xfId="0" applyFont="1" applyBorder="1"/>
    <xf numFmtId="9" fontId="34" fillId="0" borderId="0" xfId="2" applyFont="1" applyBorder="1"/>
    <xf numFmtId="0" fontId="1" fillId="2" borderId="42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50" xfId="0" applyFont="1" applyFill="1" applyBorder="1" applyAlignment="1">
      <alignment horizontal="center" wrapText="1"/>
    </xf>
    <xf numFmtId="0" fontId="1" fillId="2" borderId="51" xfId="0" applyFont="1" applyFill="1" applyBorder="1" applyAlignment="1">
      <alignment horizontal="center" wrapText="1"/>
    </xf>
    <xf numFmtId="0" fontId="1" fillId="2" borderId="38" xfId="0" applyFont="1" applyFill="1" applyBorder="1" applyAlignment="1">
      <alignment horizontal="center"/>
    </xf>
    <xf numFmtId="0" fontId="1" fillId="0" borderId="39" xfId="0" applyFont="1" applyBorder="1" applyAlignment="1"/>
    <xf numFmtId="0" fontId="1" fillId="0" borderId="0" xfId="0" applyFont="1" applyBorder="1" applyAlignment="1"/>
    <xf numFmtId="0" fontId="1" fillId="0" borderId="29" xfId="0" applyFont="1" applyBorder="1" applyAlignment="1"/>
    <xf numFmtId="0" fontId="1" fillId="2" borderId="3" xfId="0" applyFont="1" applyFill="1" applyBorder="1" applyAlignment="1">
      <alignment horizontal="center"/>
    </xf>
    <xf numFmtId="0" fontId="1" fillId="2" borderId="4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41" xfId="0" applyFont="1" applyFill="1" applyBorder="1" applyAlignment="1">
      <alignment horizontal="center"/>
    </xf>
    <xf numFmtId="0" fontId="1" fillId="2" borderId="43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1" fillId="2" borderId="43" xfId="0" applyFont="1" applyFill="1" applyBorder="1" applyAlignment="1">
      <alignment horizontal="center" textRotation="90" wrapText="1"/>
    </xf>
    <xf numFmtId="0" fontId="0" fillId="2" borderId="1" xfId="0" applyFill="1" applyBorder="1" applyAlignment="1">
      <alignment horizontal="center" textRotation="90" wrapText="1"/>
    </xf>
    <xf numFmtId="0" fontId="1" fillId="2" borderId="44" xfId="0" applyFont="1" applyFill="1" applyBorder="1" applyAlignment="1">
      <alignment horizontal="center" wrapText="1"/>
    </xf>
    <xf numFmtId="0" fontId="0" fillId="2" borderId="3" xfId="0" applyFill="1" applyBorder="1" applyAlignment="1"/>
    <xf numFmtId="0" fontId="11" fillId="3" borderId="30" xfId="0" applyFont="1" applyFill="1" applyBorder="1" applyAlignment="1">
      <alignment horizontal="center" wrapText="1"/>
    </xf>
    <xf numFmtId="0" fontId="11" fillId="3" borderId="31" xfId="0" applyFont="1" applyFill="1" applyBorder="1" applyAlignment="1">
      <alignment horizontal="center" wrapText="1"/>
    </xf>
    <xf numFmtId="0" fontId="11" fillId="3" borderId="32" xfId="0" applyFont="1" applyFill="1" applyBorder="1" applyAlignment="1">
      <alignment horizontal="center" wrapText="1"/>
    </xf>
    <xf numFmtId="0" fontId="11" fillId="3" borderId="27" xfId="0" applyFont="1" applyFill="1" applyBorder="1" applyAlignment="1">
      <alignment horizontal="center" wrapText="1"/>
    </xf>
    <xf numFmtId="0" fontId="11" fillId="0" borderId="30" xfId="0" applyFont="1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center" wrapText="1"/>
    </xf>
    <xf numFmtId="0" fontId="11" fillId="0" borderId="32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 wrapText="1"/>
    </xf>
    <xf numFmtId="0" fontId="11" fillId="0" borderId="33" xfId="0" applyFont="1" applyBorder="1" applyAlignment="1">
      <alignment horizontal="center" wrapText="1"/>
    </xf>
    <xf numFmtId="0" fontId="11" fillId="0" borderId="34" xfId="0" applyFont="1" applyBorder="1" applyAlignment="1">
      <alignment horizontal="center" wrapText="1"/>
    </xf>
    <xf numFmtId="0" fontId="11" fillId="0" borderId="35" xfId="0" applyFont="1" applyBorder="1" applyAlignment="1">
      <alignment horizontal="center" wrapText="1"/>
    </xf>
    <xf numFmtId="0" fontId="1" fillId="0" borderId="30" xfId="0" applyFont="1" applyBorder="1" applyAlignment="1">
      <alignment wrapText="1"/>
    </xf>
    <xf numFmtId="0" fontId="1" fillId="0" borderId="31" xfId="0" applyFont="1" applyBorder="1" applyAlignment="1">
      <alignment wrapText="1"/>
    </xf>
    <xf numFmtId="0" fontId="1" fillId="0" borderId="36" xfId="0" applyFont="1" applyBorder="1" applyAlignment="1">
      <alignment wrapText="1"/>
    </xf>
    <xf numFmtId="0" fontId="1" fillId="0" borderId="37" xfId="0" applyFont="1" applyBorder="1" applyAlignment="1">
      <alignment wrapText="1"/>
    </xf>
    <xf numFmtId="0" fontId="1" fillId="0" borderId="32" xfId="0" applyFont="1" applyBorder="1" applyAlignment="1">
      <alignment wrapText="1"/>
    </xf>
    <xf numFmtId="0" fontId="1" fillId="0" borderId="27" xfId="0" applyFont="1" applyBorder="1" applyAlignment="1">
      <alignment wrapText="1"/>
    </xf>
    <xf numFmtId="0" fontId="10" fillId="3" borderId="30" xfId="0" applyFont="1" applyFill="1" applyBorder="1" applyAlignment="1">
      <alignment horizontal="center" wrapText="1"/>
    </xf>
    <xf numFmtId="0" fontId="10" fillId="3" borderId="31" xfId="0" applyFont="1" applyFill="1" applyBorder="1" applyAlignment="1">
      <alignment horizontal="center" wrapText="1"/>
    </xf>
    <xf numFmtId="0" fontId="10" fillId="3" borderId="36" xfId="0" applyFont="1" applyFill="1" applyBorder="1" applyAlignment="1">
      <alignment horizontal="center" wrapText="1"/>
    </xf>
    <xf numFmtId="0" fontId="10" fillId="3" borderId="37" xfId="0" applyFont="1" applyFill="1" applyBorder="1" applyAlignment="1">
      <alignment horizontal="center" wrapText="1"/>
    </xf>
    <xf numFmtId="0" fontId="0" fillId="3" borderId="36" xfId="0" applyFill="1" applyBorder="1" applyAlignment="1">
      <alignment wrapText="1"/>
    </xf>
    <xf numFmtId="0" fontId="0" fillId="3" borderId="37" xfId="0" applyFill="1" applyBorder="1" applyAlignment="1">
      <alignment wrapText="1"/>
    </xf>
    <xf numFmtId="0" fontId="0" fillId="3" borderId="32" xfId="0" applyFill="1" applyBorder="1" applyAlignment="1">
      <alignment wrapText="1"/>
    </xf>
    <xf numFmtId="0" fontId="0" fillId="3" borderId="27" xfId="0" applyFill="1" applyBorder="1" applyAlignment="1">
      <alignment wrapText="1"/>
    </xf>
    <xf numFmtId="0" fontId="1" fillId="2" borderId="45" xfId="0" applyFont="1" applyFill="1" applyBorder="1" applyAlignment="1">
      <alignment horizontal="center" wrapText="1"/>
    </xf>
    <xf numFmtId="0" fontId="0" fillId="2" borderId="46" xfId="0" applyFill="1" applyBorder="1" applyAlignment="1"/>
    <xf numFmtId="0" fontId="1" fillId="2" borderId="47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8" xfId="0" applyFont="1" applyFill="1" applyBorder="1" applyAlignment="1">
      <alignment horizontal="center" vertical="center" wrapText="1"/>
    </xf>
    <xf numFmtId="0" fontId="1" fillId="2" borderId="43" xfId="0" applyFont="1" applyFill="1" applyBorder="1" applyAlignment="1">
      <alignment horizontal="center" vertical="center" wrapText="1"/>
    </xf>
    <xf numFmtId="0" fontId="1" fillId="2" borderId="48" xfId="0" applyFont="1" applyFill="1" applyBorder="1" applyAlignment="1">
      <alignment horizontal="center" vertical="center" wrapText="1"/>
    </xf>
    <xf numFmtId="0" fontId="1" fillId="2" borderId="49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2" borderId="1" xfId="0" applyFill="1" applyBorder="1" applyAlignment="1"/>
    <xf numFmtId="0" fontId="4" fillId="12" borderId="72" xfId="0" applyFont="1" applyFill="1" applyBorder="1" applyAlignment="1">
      <alignment horizontal="center"/>
    </xf>
    <xf numFmtId="0" fontId="4" fillId="12" borderId="73" xfId="0" applyFont="1" applyFill="1" applyBorder="1" applyAlignment="1">
      <alignment horizontal="center"/>
    </xf>
    <xf numFmtId="0" fontId="4" fillId="12" borderId="74" xfId="0" applyFont="1" applyFill="1" applyBorder="1" applyAlignment="1">
      <alignment horizontal="center"/>
    </xf>
    <xf numFmtId="0" fontId="4" fillId="15" borderId="40" xfId="0" applyFont="1" applyFill="1" applyBorder="1" applyAlignment="1">
      <alignment horizontal="left" wrapText="1"/>
    </xf>
    <xf numFmtId="0" fontId="25" fillId="14" borderId="7" xfId="0" applyFont="1" applyFill="1" applyBorder="1" applyAlignment="1" applyProtection="1">
      <alignment horizontal="left" vertical="center"/>
    </xf>
    <xf numFmtId="0" fontId="25" fillId="14" borderId="1" xfId="0" applyFont="1" applyFill="1" applyBorder="1" applyAlignment="1" applyProtection="1">
      <alignment vertical="center"/>
    </xf>
    <xf numFmtId="0" fontId="25" fillId="14" borderId="3" xfId="0" applyFont="1" applyFill="1" applyBorder="1" applyAlignment="1" applyProtection="1">
      <alignment vertical="center"/>
    </xf>
    <xf numFmtId="0" fontId="25" fillId="5" borderId="7" xfId="0" applyFont="1" applyFill="1" applyBorder="1" applyAlignment="1" applyProtection="1">
      <alignment horizontal="left" vertical="center"/>
    </xf>
    <xf numFmtId="0" fontId="25" fillId="0" borderId="1" xfId="0" applyFont="1" applyBorder="1" applyAlignment="1" applyProtection="1">
      <alignment vertical="center"/>
    </xf>
    <xf numFmtId="0" fontId="25" fillId="0" borderId="3" xfId="0" applyFont="1" applyBorder="1" applyAlignment="1" applyProtection="1">
      <alignment vertical="center"/>
    </xf>
    <xf numFmtId="0" fontId="25" fillId="13" borderId="7" xfId="0" applyFont="1" applyFill="1" applyBorder="1" applyAlignment="1" applyProtection="1">
      <alignment horizontal="left" vertical="center"/>
    </xf>
    <xf numFmtId="0" fontId="25" fillId="13" borderId="1" xfId="0" applyFont="1" applyFill="1" applyBorder="1" applyAlignment="1" applyProtection="1">
      <alignment vertical="center"/>
    </xf>
    <xf numFmtId="0" fontId="25" fillId="13" borderId="3" xfId="0" applyFont="1" applyFill="1" applyBorder="1" applyAlignment="1" applyProtection="1">
      <alignment vertical="center"/>
    </xf>
    <xf numFmtId="0" fontId="25" fillId="15" borderId="7" xfId="0" applyFont="1" applyFill="1" applyBorder="1" applyAlignment="1">
      <alignment horizontal="left" wrapText="1"/>
    </xf>
    <xf numFmtId="0" fontId="25" fillId="15" borderId="1" xfId="0" applyFont="1" applyFill="1" applyBorder="1" applyAlignment="1">
      <alignment horizontal="left" wrapText="1"/>
    </xf>
    <xf numFmtId="0" fontId="25" fillId="15" borderId="3" xfId="0" applyFont="1" applyFill="1" applyBorder="1" applyAlignment="1">
      <alignment horizontal="left" wrapText="1"/>
    </xf>
    <xf numFmtId="0" fontId="25" fillId="15" borderId="9" xfId="0" applyFont="1" applyFill="1" applyBorder="1" applyAlignment="1">
      <alignment wrapText="1"/>
    </xf>
    <xf numFmtId="0" fontId="25" fillId="15" borderId="10" xfId="0" applyFont="1" applyFill="1" applyBorder="1" applyAlignment="1">
      <alignment wrapText="1"/>
    </xf>
    <xf numFmtId="0" fontId="25" fillId="15" borderId="75" xfId="0" applyFont="1" applyFill="1" applyBorder="1" applyAlignment="1">
      <alignment wrapText="1"/>
    </xf>
    <xf numFmtId="0" fontId="25" fillId="15" borderId="7" xfId="0" applyFont="1" applyFill="1" applyBorder="1" applyAlignment="1" applyProtection="1">
      <alignment horizontal="left" vertical="center"/>
    </xf>
    <xf numFmtId="0" fontId="25" fillId="15" borderId="1" xfId="0" applyFont="1" applyFill="1" applyBorder="1" applyAlignment="1" applyProtection="1">
      <alignment vertical="center"/>
    </xf>
    <xf numFmtId="0" fontId="25" fillId="15" borderId="3" xfId="0" applyFont="1" applyFill="1" applyBorder="1" applyAlignment="1" applyProtection="1">
      <alignment vertical="center"/>
    </xf>
    <xf numFmtId="0" fontId="26" fillId="12" borderId="7" xfId="0" applyFont="1" applyFill="1" applyBorder="1" applyAlignment="1" applyProtection="1">
      <alignment horizontal="center" vertical="center"/>
    </xf>
    <xf numFmtId="0" fontId="26" fillId="12" borderId="1" xfId="0" applyFont="1" applyFill="1" applyBorder="1" applyAlignment="1" applyProtection="1">
      <alignment horizontal="center" vertical="center"/>
    </xf>
    <xf numFmtId="0" fontId="26" fillId="12" borderId="3" xfId="0" applyFont="1" applyFill="1" applyBorder="1" applyAlignment="1" applyProtection="1">
      <alignment horizontal="center" vertical="center"/>
    </xf>
    <xf numFmtId="0" fontId="25" fillId="15" borderId="7" xfId="0" applyFont="1" applyFill="1" applyBorder="1" applyAlignment="1">
      <alignment wrapText="1"/>
    </xf>
    <xf numFmtId="0" fontId="25" fillId="15" borderId="1" xfId="0" applyFont="1" applyFill="1" applyBorder="1" applyAlignment="1">
      <alignment wrapText="1"/>
    </xf>
    <xf numFmtId="0" fontId="25" fillId="15" borderId="3" xfId="0" applyFont="1" applyFill="1" applyBorder="1" applyAlignment="1">
      <alignment wrapText="1"/>
    </xf>
    <xf numFmtId="9" fontId="19" fillId="10" borderId="3" xfId="0" applyNumberFormat="1" applyFont="1" applyFill="1" applyBorder="1" applyAlignment="1" applyProtection="1">
      <alignment horizontal="center" vertical="center"/>
      <protection locked="0"/>
    </xf>
    <xf numFmtId="9" fontId="19" fillId="10" borderId="12" xfId="0" applyNumberFormat="1" applyFont="1" applyFill="1" applyBorder="1" applyAlignment="1" applyProtection="1">
      <alignment horizontal="center" vertical="center"/>
      <protection locked="0"/>
    </xf>
    <xf numFmtId="0" fontId="21" fillId="0" borderId="0" xfId="0" applyFont="1" applyBorder="1" applyAlignment="1" applyProtection="1">
      <alignment horizontal="center" vertical="center"/>
    </xf>
    <xf numFmtId="0" fontId="21" fillId="0" borderId="57" xfId="0" applyFont="1" applyBorder="1" applyAlignment="1" applyProtection="1">
      <alignment horizontal="center" vertical="center"/>
    </xf>
    <xf numFmtId="0" fontId="0" fillId="0" borderId="12" xfId="0" applyBorder="1"/>
  </cellXfs>
  <cellStyles count="3">
    <cellStyle name="Hyperlink" xfId="1" builtinId="8"/>
    <cellStyle name="Normal" xfId="0" builtinId="0"/>
    <cellStyle name="Percent" xfId="2" builtinId="5"/>
  </cellStyles>
  <dxfs count="6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lor theme="0"/>
      </font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sunset.usc.edu/research/COCOMOII/expert_cocomo/drivers.html" TargetMode="Externa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T30"/>
  <sheetViews>
    <sheetView workbookViewId="0">
      <selection activeCell="G11" sqref="G11:Q12"/>
    </sheetView>
  </sheetViews>
  <sheetFormatPr defaultColWidth="11.42578125" defaultRowHeight="12.75"/>
  <cols>
    <col min="1" max="4" width="15.7109375" style="6" customWidth="1"/>
    <col min="5" max="6" width="15.7109375" customWidth="1"/>
    <col min="7" max="10" width="3" style="13" bestFit="1" customWidth="1"/>
    <col min="11" max="14" width="3" style="13" customWidth="1"/>
    <col min="15" max="17" width="3.28515625" style="13" bestFit="1" customWidth="1"/>
    <col min="18" max="18" width="14.140625" style="12" customWidth="1"/>
    <col min="19" max="19" width="21.5703125" customWidth="1"/>
    <col min="20" max="20" width="22.85546875" customWidth="1"/>
  </cols>
  <sheetData>
    <row r="1" spans="1:20" ht="13.5" thickBot="1"/>
    <row r="2" spans="1:20" ht="15">
      <c r="A2" s="241"/>
      <c r="B2" s="242"/>
      <c r="C2" s="247"/>
      <c r="D2" s="248"/>
      <c r="E2" s="230" t="s">
        <v>23</v>
      </c>
      <c r="F2" s="231"/>
    </row>
    <row r="3" spans="1:20" ht="15" customHeight="1" thickBot="1">
      <c r="A3" s="243"/>
      <c r="B3" s="244"/>
      <c r="C3" s="249" t="s">
        <v>22</v>
      </c>
      <c r="D3" s="250"/>
      <c r="E3" s="232" t="s">
        <v>24</v>
      </c>
      <c r="F3" s="233"/>
    </row>
    <row r="4" spans="1:20" ht="15" customHeight="1">
      <c r="A4" s="243"/>
      <c r="B4" s="244"/>
      <c r="C4" s="251"/>
      <c r="D4" s="252"/>
      <c r="E4" s="234" t="s">
        <v>25</v>
      </c>
      <c r="F4" s="235"/>
    </row>
    <row r="5" spans="1:20" ht="15" customHeight="1" thickBot="1">
      <c r="A5" s="245"/>
      <c r="B5" s="246"/>
      <c r="C5" s="253"/>
      <c r="D5" s="254"/>
      <c r="E5" s="236"/>
      <c r="F5" s="237"/>
    </row>
    <row r="6" spans="1:20" ht="15" customHeight="1" thickBot="1">
      <c r="A6" s="238" t="s">
        <v>26</v>
      </c>
      <c r="B6" s="239"/>
      <c r="C6" s="239"/>
      <c r="D6" s="239"/>
      <c r="E6" s="239"/>
      <c r="F6" s="240"/>
    </row>
    <row r="7" spans="1:20" ht="15" customHeight="1" thickBot="1">
      <c r="A7" s="54" t="s">
        <v>29</v>
      </c>
      <c r="B7" s="52"/>
      <c r="C7" s="54" t="s">
        <v>27</v>
      </c>
      <c r="D7" s="53"/>
      <c r="E7" s="54" t="s">
        <v>28</v>
      </c>
      <c r="F7" s="51"/>
    </row>
    <row r="8" spans="1:20" ht="15" customHeight="1">
      <c r="A8" s="55"/>
      <c r="B8" s="56"/>
      <c r="C8" s="55"/>
      <c r="D8" s="57"/>
      <c r="E8" s="55"/>
      <c r="F8" s="55"/>
    </row>
    <row r="9" spans="1:20" ht="20.25">
      <c r="C9" s="50" t="s">
        <v>21</v>
      </c>
    </row>
    <row r="10" spans="1:20" ht="13.5" thickBot="1"/>
    <row r="11" spans="1:20" ht="13.5" customHeight="1" thickTop="1">
      <c r="A11" s="214" t="s">
        <v>19</v>
      </c>
      <c r="B11" s="212" t="s">
        <v>18</v>
      </c>
      <c r="C11" s="212" t="s">
        <v>17</v>
      </c>
      <c r="D11" s="224" t="s">
        <v>0</v>
      </c>
      <c r="E11" s="226" t="s">
        <v>1</v>
      </c>
      <c r="F11" s="228" t="s">
        <v>2</v>
      </c>
      <c r="G11" s="257" t="s">
        <v>3</v>
      </c>
      <c r="H11" s="258"/>
      <c r="I11" s="258"/>
      <c r="J11" s="259"/>
      <c r="K11" s="257" t="s">
        <v>15</v>
      </c>
      <c r="L11" s="258"/>
      <c r="M11" s="258"/>
      <c r="N11" s="259"/>
      <c r="O11" s="257" t="s">
        <v>4</v>
      </c>
      <c r="P11" s="260"/>
      <c r="Q11" s="261"/>
      <c r="R11" s="262" t="s">
        <v>5</v>
      </c>
      <c r="S11" s="224" t="s">
        <v>6</v>
      </c>
      <c r="T11" s="255" t="s">
        <v>7</v>
      </c>
    </row>
    <row r="12" spans="1:20" ht="42.75" thickBot="1">
      <c r="A12" s="215"/>
      <c r="B12" s="213"/>
      <c r="C12" s="213"/>
      <c r="D12" s="225"/>
      <c r="E12" s="227"/>
      <c r="F12" s="229"/>
      <c r="G12" s="28" t="s">
        <v>8</v>
      </c>
      <c r="H12" s="29" t="s">
        <v>9</v>
      </c>
      <c r="I12" s="29" t="s">
        <v>10</v>
      </c>
      <c r="J12" s="30" t="s">
        <v>11</v>
      </c>
      <c r="K12" s="28" t="s">
        <v>8</v>
      </c>
      <c r="L12" s="29" t="s">
        <v>9</v>
      </c>
      <c r="M12" s="29" t="s">
        <v>10</v>
      </c>
      <c r="N12" s="30" t="s">
        <v>11</v>
      </c>
      <c r="O12" s="25" t="s">
        <v>12</v>
      </c>
      <c r="P12" s="26" t="s">
        <v>13</v>
      </c>
      <c r="Q12" s="27" t="s">
        <v>14</v>
      </c>
      <c r="R12" s="263"/>
      <c r="S12" s="264"/>
      <c r="T12" s="256"/>
    </row>
    <row r="13" spans="1:20">
      <c r="A13" s="34"/>
      <c r="B13" s="7"/>
      <c r="C13" s="7"/>
      <c r="D13" s="216" t="s">
        <v>16</v>
      </c>
      <c r="E13" s="217"/>
      <c r="F13" s="217"/>
      <c r="G13" s="218"/>
      <c r="H13" s="218"/>
      <c r="I13" s="218"/>
      <c r="J13" s="218"/>
      <c r="K13" s="218"/>
      <c r="L13" s="218"/>
      <c r="M13" s="218"/>
      <c r="N13" s="218"/>
      <c r="O13" s="218"/>
      <c r="P13" s="218"/>
      <c r="Q13" s="218"/>
      <c r="R13" s="217"/>
      <c r="S13" s="217"/>
      <c r="T13" s="219"/>
    </row>
    <row r="14" spans="1:20" ht="20.100000000000001" customHeight="1">
      <c r="A14" s="35"/>
      <c r="B14" s="5"/>
      <c r="C14" s="9"/>
      <c r="D14" s="8"/>
      <c r="E14" s="1"/>
      <c r="F14" s="15"/>
      <c r="G14" s="19"/>
      <c r="H14" s="11"/>
      <c r="I14" s="11"/>
      <c r="J14" s="20"/>
      <c r="K14" s="19"/>
      <c r="L14" s="11"/>
      <c r="M14" s="11"/>
      <c r="N14" s="20"/>
      <c r="O14" s="19"/>
      <c r="P14" s="11"/>
      <c r="Q14" s="20"/>
      <c r="R14" s="24"/>
      <c r="S14" s="4"/>
      <c r="T14" s="36"/>
    </row>
    <row r="15" spans="1:20" ht="20.100000000000001" customHeight="1">
      <c r="A15" s="35"/>
      <c r="B15" s="5"/>
      <c r="C15" s="9"/>
      <c r="D15" s="8"/>
      <c r="E15" s="1"/>
      <c r="F15" s="15"/>
      <c r="G15" s="19"/>
      <c r="H15" s="11"/>
      <c r="I15" s="11"/>
      <c r="J15" s="20"/>
      <c r="K15" s="19"/>
      <c r="L15" s="11"/>
      <c r="M15" s="11"/>
      <c r="N15" s="20"/>
      <c r="O15" s="19"/>
      <c r="P15" s="11"/>
      <c r="Q15" s="20"/>
      <c r="R15" s="24"/>
      <c r="S15" s="10"/>
      <c r="T15" s="36"/>
    </row>
    <row r="16" spans="1:20" ht="20.100000000000001" customHeight="1">
      <c r="A16" s="35"/>
      <c r="B16" s="5"/>
      <c r="C16" s="5"/>
      <c r="D16" s="8"/>
      <c r="E16" s="1"/>
      <c r="F16" s="14"/>
      <c r="G16" s="19"/>
      <c r="H16" s="11"/>
      <c r="I16" s="11"/>
      <c r="J16" s="20"/>
      <c r="K16" s="19"/>
      <c r="L16" s="11"/>
      <c r="M16" s="11"/>
      <c r="N16" s="20"/>
      <c r="O16" s="19"/>
      <c r="P16" s="11"/>
      <c r="Q16" s="20"/>
      <c r="R16" s="24"/>
      <c r="S16" s="3"/>
      <c r="T16" s="37"/>
    </row>
    <row r="17" spans="1:20" ht="20.100000000000001" customHeight="1">
      <c r="A17" s="35"/>
      <c r="B17" s="5"/>
      <c r="C17" s="5"/>
      <c r="D17" s="8"/>
      <c r="E17" s="1"/>
      <c r="F17" s="14"/>
      <c r="G17" s="19"/>
      <c r="H17" s="11"/>
      <c r="I17" s="11"/>
      <c r="J17" s="20"/>
      <c r="K17" s="19"/>
      <c r="L17" s="11"/>
      <c r="M17" s="11"/>
      <c r="N17" s="20"/>
      <c r="O17" s="19"/>
      <c r="P17" s="11"/>
      <c r="Q17" s="20"/>
      <c r="R17" s="24"/>
      <c r="S17" s="3"/>
      <c r="T17" s="37"/>
    </row>
    <row r="18" spans="1:20" ht="20.100000000000001" customHeight="1">
      <c r="A18" s="35"/>
      <c r="B18" s="5"/>
      <c r="C18" s="5"/>
      <c r="D18" s="8"/>
      <c r="E18" s="1"/>
      <c r="F18" s="14"/>
      <c r="G18" s="19"/>
      <c r="H18" s="11"/>
      <c r="I18" s="11"/>
      <c r="J18" s="20"/>
      <c r="K18" s="19"/>
      <c r="L18" s="11"/>
      <c r="M18" s="11"/>
      <c r="N18" s="20"/>
      <c r="O18" s="19"/>
      <c r="P18" s="11"/>
      <c r="Q18" s="20"/>
      <c r="R18" s="24"/>
      <c r="S18" s="3"/>
      <c r="T18" s="37"/>
    </row>
    <row r="19" spans="1:20" ht="20.100000000000001" customHeight="1">
      <c r="A19" s="35"/>
      <c r="B19" s="5"/>
      <c r="C19" s="5"/>
      <c r="D19" s="8"/>
      <c r="E19" s="1"/>
      <c r="F19" s="14"/>
      <c r="G19" s="19"/>
      <c r="H19" s="11"/>
      <c r="I19" s="11"/>
      <c r="J19" s="20"/>
      <c r="K19" s="19"/>
      <c r="L19" s="11"/>
      <c r="M19" s="11"/>
      <c r="N19" s="20"/>
      <c r="O19" s="19"/>
      <c r="P19" s="11"/>
      <c r="Q19" s="20"/>
      <c r="R19" s="24"/>
      <c r="S19" s="3"/>
      <c r="T19" s="37"/>
    </row>
    <row r="20" spans="1:20" ht="20.100000000000001" customHeight="1">
      <c r="A20" s="35"/>
      <c r="B20" s="5"/>
      <c r="C20" s="5"/>
      <c r="D20" s="8"/>
      <c r="E20" s="1"/>
      <c r="F20" s="14"/>
      <c r="G20" s="31"/>
      <c r="H20" s="32"/>
      <c r="I20" s="32"/>
      <c r="J20" s="33"/>
      <c r="K20" s="31"/>
      <c r="L20" s="32"/>
      <c r="M20" s="32"/>
      <c r="N20" s="33"/>
      <c r="O20" s="31"/>
      <c r="P20" s="32"/>
      <c r="Q20" s="33"/>
      <c r="R20" s="24"/>
      <c r="S20" s="3"/>
      <c r="T20" s="37"/>
    </row>
    <row r="21" spans="1:20" ht="20.100000000000001" customHeight="1" thickBot="1">
      <c r="A21" s="35"/>
      <c r="B21" s="5"/>
      <c r="C21" s="5"/>
      <c r="D21" s="8"/>
      <c r="E21" s="1"/>
      <c r="F21" s="14"/>
      <c r="G21" s="21"/>
      <c r="H21" s="22"/>
      <c r="I21" s="22"/>
      <c r="J21" s="23"/>
      <c r="K21" s="21"/>
      <c r="L21" s="22"/>
      <c r="M21" s="22"/>
      <c r="N21" s="23"/>
      <c r="O21" s="21"/>
      <c r="P21" s="22"/>
      <c r="Q21" s="23"/>
      <c r="R21" s="24"/>
      <c r="S21" s="3"/>
      <c r="T21" s="36"/>
    </row>
    <row r="22" spans="1:20" ht="13.5" thickBot="1">
      <c r="A22" s="34"/>
      <c r="B22" s="7"/>
      <c r="C22" s="7"/>
      <c r="D22" s="220" t="s">
        <v>20</v>
      </c>
      <c r="E22" s="221"/>
      <c r="F22" s="221"/>
      <c r="G22" s="222"/>
      <c r="H22" s="222"/>
      <c r="I22" s="222"/>
      <c r="J22" s="222"/>
      <c r="K22" s="222"/>
      <c r="L22" s="222"/>
      <c r="M22" s="222"/>
      <c r="N22" s="222"/>
      <c r="O22" s="222"/>
      <c r="P22" s="222"/>
      <c r="Q22" s="222"/>
      <c r="R22" s="221"/>
      <c r="S22" s="221"/>
      <c r="T22" s="223"/>
    </row>
    <row r="23" spans="1:20" ht="20.100000000000001" customHeight="1">
      <c r="A23" s="35"/>
      <c r="B23" s="5"/>
      <c r="C23" s="5"/>
      <c r="D23" s="8"/>
      <c r="E23" s="1"/>
      <c r="F23" s="14"/>
      <c r="G23" s="16"/>
      <c r="H23" s="17"/>
      <c r="I23" s="17"/>
      <c r="J23" s="18"/>
      <c r="K23" s="16"/>
      <c r="L23" s="17"/>
      <c r="M23" s="17"/>
      <c r="N23" s="18"/>
      <c r="O23" s="16"/>
      <c r="P23" s="17"/>
      <c r="Q23" s="18"/>
      <c r="R23" s="24"/>
      <c r="S23" s="2"/>
      <c r="T23" s="38"/>
    </row>
    <row r="24" spans="1:20" ht="20.100000000000001" customHeight="1">
      <c r="A24" s="35"/>
      <c r="B24" s="5"/>
      <c r="C24" s="5"/>
      <c r="D24" s="8"/>
      <c r="E24" s="1"/>
      <c r="F24" s="14"/>
      <c r="G24" s="19"/>
      <c r="H24" s="11"/>
      <c r="I24" s="11"/>
      <c r="J24" s="20"/>
      <c r="K24" s="19"/>
      <c r="L24" s="11"/>
      <c r="M24" s="11"/>
      <c r="N24" s="20"/>
      <c r="O24" s="19"/>
      <c r="P24" s="11"/>
      <c r="Q24" s="20"/>
      <c r="R24" s="24"/>
      <c r="S24" s="3"/>
      <c r="T24" s="37"/>
    </row>
    <row r="25" spans="1:20" ht="20.100000000000001" customHeight="1">
      <c r="A25" s="35"/>
      <c r="B25" s="5"/>
      <c r="C25" s="5"/>
      <c r="D25" s="8"/>
      <c r="E25" s="1"/>
      <c r="F25" s="14"/>
      <c r="G25" s="19"/>
      <c r="H25" s="11"/>
      <c r="I25" s="11"/>
      <c r="J25" s="20"/>
      <c r="K25" s="19"/>
      <c r="L25" s="11"/>
      <c r="M25" s="11"/>
      <c r="N25" s="20"/>
      <c r="O25" s="19"/>
      <c r="P25" s="11"/>
      <c r="Q25" s="20"/>
      <c r="R25" s="24"/>
      <c r="S25" s="3"/>
      <c r="T25" s="37"/>
    </row>
    <row r="26" spans="1:20" ht="20.100000000000001" customHeight="1">
      <c r="A26" s="35"/>
      <c r="B26" s="5"/>
      <c r="C26" s="5"/>
      <c r="D26" s="8"/>
      <c r="E26" s="1"/>
      <c r="F26" s="14"/>
      <c r="G26" s="19"/>
      <c r="H26" s="11"/>
      <c r="I26" s="11"/>
      <c r="J26" s="20"/>
      <c r="K26" s="19"/>
      <c r="L26" s="11"/>
      <c r="M26" s="11"/>
      <c r="N26" s="20"/>
      <c r="O26" s="19"/>
      <c r="P26" s="11"/>
      <c r="Q26" s="20"/>
      <c r="R26" s="24"/>
      <c r="S26" s="3"/>
      <c r="T26" s="37"/>
    </row>
    <row r="27" spans="1:20" ht="20.100000000000001" customHeight="1">
      <c r="A27" s="35"/>
      <c r="B27" s="5"/>
      <c r="C27" s="5"/>
      <c r="D27" s="8"/>
      <c r="E27" s="1"/>
      <c r="F27" s="14"/>
      <c r="G27" s="19"/>
      <c r="H27" s="11"/>
      <c r="I27" s="11"/>
      <c r="J27" s="20"/>
      <c r="K27" s="19"/>
      <c r="L27" s="11"/>
      <c r="M27" s="11"/>
      <c r="N27" s="20"/>
      <c r="O27" s="19"/>
      <c r="P27" s="11"/>
      <c r="Q27" s="20"/>
      <c r="R27" s="24"/>
      <c r="S27" s="3"/>
      <c r="T27" s="37"/>
    </row>
    <row r="28" spans="1:20" ht="20.100000000000001" customHeight="1">
      <c r="A28" s="35"/>
      <c r="B28" s="5"/>
      <c r="C28" s="5"/>
      <c r="D28" s="8"/>
      <c r="E28" s="1"/>
      <c r="F28" s="14"/>
      <c r="G28" s="19"/>
      <c r="H28" s="11"/>
      <c r="I28" s="11"/>
      <c r="J28" s="20"/>
      <c r="K28" s="19"/>
      <c r="L28" s="11"/>
      <c r="M28" s="11"/>
      <c r="N28" s="20"/>
      <c r="O28" s="19"/>
      <c r="P28" s="11"/>
      <c r="Q28" s="20"/>
      <c r="R28" s="24"/>
      <c r="S28" s="3"/>
      <c r="T28" s="37"/>
    </row>
    <row r="29" spans="1:20" ht="20.100000000000001" customHeight="1" thickBot="1">
      <c r="A29" s="39"/>
      <c r="B29" s="40"/>
      <c r="C29" s="40"/>
      <c r="D29" s="41"/>
      <c r="E29" s="42"/>
      <c r="F29" s="43"/>
      <c r="G29" s="44"/>
      <c r="H29" s="45"/>
      <c r="I29" s="45"/>
      <c r="J29" s="46"/>
      <c r="K29" s="44"/>
      <c r="L29" s="45"/>
      <c r="M29" s="45"/>
      <c r="N29" s="46"/>
      <c r="O29" s="44"/>
      <c r="P29" s="45"/>
      <c r="Q29" s="46"/>
      <c r="R29" s="47"/>
      <c r="S29" s="48"/>
      <c r="T29" s="49"/>
    </row>
    <row r="30" spans="1:20" ht="13.5" thickTop="1"/>
  </sheetData>
  <mergeCells count="23">
    <mergeCell ref="E2:F2"/>
    <mergeCell ref="E3:F3"/>
    <mergeCell ref="E4:F5"/>
    <mergeCell ref="A6:F6"/>
    <mergeCell ref="A2:B5"/>
    <mergeCell ref="C2:D2"/>
    <mergeCell ref="C3:D3"/>
    <mergeCell ref="C4:D4"/>
    <mergeCell ref="C5:D5"/>
    <mergeCell ref="B11:B12"/>
    <mergeCell ref="A11:A12"/>
    <mergeCell ref="D13:T13"/>
    <mergeCell ref="D22:T22"/>
    <mergeCell ref="C11:C12"/>
    <mergeCell ref="D11:D12"/>
    <mergeCell ref="E11:E12"/>
    <mergeCell ref="F11:F12"/>
    <mergeCell ref="T11:T12"/>
    <mergeCell ref="K11:N11"/>
    <mergeCell ref="G11:J11"/>
    <mergeCell ref="O11:Q11"/>
    <mergeCell ref="R11:R12"/>
    <mergeCell ref="S11:S12"/>
  </mergeCells>
  <phoneticPr fontId="0" type="noConversion"/>
  <pageMargins left="0.75" right="0.75" top="1" bottom="1" header="0" footer="0"/>
  <pageSetup scale="75" orientation="landscape" r:id="rId1"/>
  <headerFooter alignWithMargins="0">
    <oddHeader>&amp;LElaboró
Responsable Área de Calidad 
Fecha
06/03/06
Aprobó 
Fecha
Revisó
Fecha 
&amp;CMatriz de Riesgos 
Área de Desarrollo &amp;RCÓDIGO
F-PE-PDSW-001-002
VERSIÓN: 1.0.0 Beta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3"/>
  <dimension ref="D1:BG70"/>
  <sheetViews>
    <sheetView tabSelected="1" topLeftCell="B1" zoomScale="85" zoomScaleNormal="85" workbookViewId="0">
      <pane xSplit="1" topLeftCell="C1" activePane="topRight" state="frozen"/>
      <selection activeCell="B1" sqref="B1"/>
      <selection pane="topRight" activeCell="Z15" sqref="Z15"/>
    </sheetView>
  </sheetViews>
  <sheetFormatPr defaultRowHeight="12.75"/>
  <cols>
    <col min="1" max="1" width="2.5703125" customWidth="1"/>
    <col min="2" max="2" width="2" customWidth="1"/>
    <col min="3" max="3" width="3.140625" customWidth="1"/>
    <col min="4" max="4" width="3.42578125" customWidth="1"/>
    <col min="5" max="5" width="16.28515625" style="115" bestFit="1" customWidth="1"/>
    <col min="6" max="6" width="19.5703125" style="115" customWidth="1"/>
    <col min="7" max="7" width="12.140625" style="115" customWidth="1"/>
    <col min="8" max="8" width="13.7109375" style="115" customWidth="1"/>
    <col min="9" max="10" width="5.28515625" customWidth="1"/>
    <col min="11" max="11" width="5.140625" customWidth="1"/>
    <col min="12" max="14" width="5.28515625" customWidth="1"/>
    <col min="15" max="15" width="16.140625" customWidth="1"/>
    <col min="16" max="21" width="4.7109375" hidden="1" customWidth="1"/>
    <col min="22" max="22" width="5.42578125" style="174" hidden="1" customWidth="1"/>
    <col min="23" max="23" width="7.140625" style="174" hidden="1" customWidth="1"/>
    <col min="24" max="24" width="7.140625" style="174" customWidth="1"/>
    <col min="25" max="25" width="15.7109375" customWidth="1"/>
    <col min="26" max="29" width="7" customWidth="1"/>
    <col min="30" max="30" width="56.7109375" customWidth="1"/>
    <col min="31" max="31" width="31.140625" bestFit="1" customWidth="1"/>
    <col min="33" max="33" width="6.85546875" customWidth="1"/>
  </cols>
  <sheetData>
    <row r="1" spans="4:59" ht="21" thickBot="1">
      <c r="F1" s="197" t="s">
        <v>348</v>
      </c>
      <c r="G1" s="198"/>
      <c r="H1" s="199">
        <f>SUM(W6:W47)</f>
        <v>0.3999999999999998</v>
      </c>
    </row>
    <row r="2" spans="4:59" ht="20.25">
      <c r="F2" s="210"/>
      <c r="G2" s="210"/>
      <c r="H2" s="211"/>
    </row>
    <row r="3" spans="4:59" ht="13.5" thickBot="1"/>
    <row r="4" spans="4:59">
      <c r="E4" s="265"/>
      <c r="F4" s="266"/>
      <c r="G4" s="266"/>
      <c r="H4" s="267"/>
      <c r="I4" s="175" t="s">
        <v>318</v>
      </c>
      <c r="J4" s="175" t="s">
        <v>319</v>
      </c>
      <c r="K4" s="175" t="s">
        <v>322</v>
      </c>
      <c r="L4" s="175" t="s">
        <v>320</v>
      </c>
      <c r="M4" s="175" t="s">
        <v>321</v>
      </c>
      <c r="N4" s="176" t="s">
        <v>323</v>
      </c>
      <c r="O4" s="181" t="s">
        <v>341</v>
      </c>
      <c r="P4" s="186" t="s">
        <v>318</v>
      </c>
      <c r="Q4" s="187" t="s">
        <v>319</v>
      </c>
      <c r="R4" s="187" t="s">
        <v>322</v>
      </c>
      <c r="S4" s="187" t="s">
        <v>320</v>
      </c>
      <c r="T4" s="187" t="s">
        <v>321</v>
      </c>
      <c r="U4" s="187" t="s">
        <v>323</v>
      </c>
      <c r="V4" s="194" t="s">
        <v>343</v>
      </c>
      <c r="W4" s="195" t="s">
        <v>344</v>
      </c>
      <c r="X4" s="206" t="s">
        <v>347</v>
      </c>
    </row>
    <row r="5" spans="4:59" ht="15">
      <c r="E5" s="287" t="s">
        <v>282</v>
      </c>
      <c r="F5" s="288"/>
      <c r="G5" s="288"/>
      <c r="H5" s="289"/>
      <c r="I5" s="160"/>
      <c r="J5" s="160"/>
      <c r="K5" s="160"/>
      <c r="L5" s="160"/>
      <c r="M5" s="160"/>
      <c r="N5" s="177"/>
      <c r="O5" s="182"/>
      <c r="P5" s="188"/>
      <c r="Q5" s="168"/>
      <c r="R5" s="168"/>
      <c r="S5" s="168"/>
      <c r="T5" s="168"/>
      <c r="U5" s="168"/>
      <c r="V5" s="173"/>
      <c r="W5" s="172"/>
      <c r="X5" s="207"/>
    </row>
    <row r="6" spans="4:59" ht="14.25">
      <c r="D6">
        <v>1</v>
      </c>
      <c r="E6" s="272" t="s">
        <v>311</v>
      </c>
      <c r="F6" s="273"/>
      <c r="G6" s="273"/>
      <c r="H6" s="274"/>
      <c r="I6" s="164">
        <v>0.94</v>
      </c>
      <c r="J6" s="164">
        <v>0.94</v>
      </c>
      <c r="K6" s="166">
        <v>1</v>
      </c>
      <c r="L6" s="164">
        <v>1.08</v>
      </c>
      <c r="M6" s="164">
        <v>1.1599999999999999</v>
      </c>
      <c r="N6" s="178">
        <v>1.1599999999999999</v>
      </c>
      <c r="O6" s="183" t="s">
        <v>322</v>
      </c>
      <c r="P6" s="189">
        <f t="shared" ref="P6:P14" si="0">IF($O6=I$4,I6, 0)</f>
        <v>0</v>
      </c>
      <c r="Q6" s="170">
        <f t="shared" ref="Q6:Q14" si="1">IF($O6=J$4,J6, 0)</f>
        <v>0</v>
      </c>
      <c r="R6" s="170">
        <f t="shared" ref="R6:R14" si="2">IF($O6=K$4,K6, 0)</f>
        <v>1</v>
      </c>
      <c r="S6" s="170">
        <f t="shared" ref="S6:S14" si="3">IF($O6=L$4,L6, 0)</f>
        <v>0</v>
      </c>
      <c r="T6" s="170">
        <f t="shared" ref="T6:T14" si="4">IF($O6=M$4,M6, 0)</f>
        <v>0</v>
      </c>
      <c r="U6" s="171">
        <f t="shared" ref="U6:U14" si="5">IF($O6=N$4,N6, 0)</f>
        <v>0</v>
      </c>
      <c r="V6" s="203">
        <f t="shared" ref="V6:V13" si="6">SUM(P6:U6)-1</f>
        <v>0</v>
      </c>
      <c r="W6" s="204">
        <f>IF(V6&gt;=$V$48+0.01,V6,  IF(V6&lt;=0,V6,0)  )</f>
        <v>0</v>
      </c>
      <c r="X6" s="208" t="str">
        <f t="shared" ref="X6:X8" si="7">IF(W6&gt;0,"SI",IF(IF(V6&gt;=$V$48+0,V6,0)&gt;0,"OP",""))</f>
        <v/>
      </c>
      <c r="Y6" s="196"/>
      <c r="Z6" s="169"/>
      <c r="AA6" s="169"/>
      <c r="AB6" s="169"/>
      <c r="AC6" s="169"/>
      <c r="AD6" s="169"/>
      <c r="BE6">
        <v>1</v>
      </c>
      <c r="BF6" s="115" t="s">
        <v>349</v>
      </c>
      <c r="BG6" s="115" t="s">
        <v>350</v>
      </c>
    </row>
    <row r="7" spans="4:59" ht="14.25">
      <c r="D7">
        <v>2</v>
      </c>
      <c r="E7" s="272" t="s">
        <v>166</v>
      </c>
      <c r="F7" s="273"/>
      <c r="G7" s="273"/>
      <c r="H7" s="274"/>
      <c r="I7" s="164">
        <v>1.42</v>
      </c>
      <c r="J7" s="164">
        <v>1.17</v>
      </c>
      <c r="K7" s="166">
        <v>1</v>
      </c>
      <c r="L7" s="164">
        <v>0.86</v>
      </c>
      <c r="M7" s="164">
        <v>0.7</v>
      </c>
      <c r="N7" s="178">
        <v>0.7</v>
      </c>
      <c r="O7" s="183" t="s">
        <v>319</v>
      </c>
      <c r="P7" s="189">
        <f t="shared" si="0"/>
        <v>0</v>
      </c>
      <c r="Q7" s="170">
        <f t="shared" si="1"/>
        <v>1.17</v>
      </c>
      <c r="R7" s="170">
        <f t="shared" si="2"/>
        <v>0</v>
      </c>
      <c r="S7" s="170">
        <f t="shared" si="3"/>
        <v>0</v>
      </c>
      <c r="T7" s="170">
        <f t="shared" si="4"/>
        <v>0</v>
      </c>
      <c r="U7" s="171">
        <f t="shared" si="5"/>
        <v>0</v>
      </c>
      <c r="V7" s="203">
        <f t="shared" si="6"/>
        <v>0.16999999999999993</v>
      </c>
      <c r="W7" s="204">
        <f t="shared" ref="W7:W47" si="8">IF(V7&gt;=$V$48+0.01,V7,  IF(V7&lt;=0,V7,0)  )</f>
        <v>0.16999999999999993</v>
      </c>
      <c r="X7" s="208" t="str">
        <f t="shared" si="7"/>
        <v>SI</v>
      </c>
      <c r="AE7" s="141" t="s">
        <v>286</v>
      </c>
      <c r="AF7" s="142">
        <v>1</v>
      </c>
      <c r="AG7" s="141"/>
      <c r="AH7" s="142"/>
      <c r="AN7" s="183" t="s">
        <v>319</v>
      </c>
      <c r="BF7" s="115"/>
    </row>
    <row r="8" spans="4:59" ht="14.25">
      <c r="D8">
        <v>3</v>
      </c>
      <c r="E8" s="272" t="s">
        <v>172</v>
      </c>
      <c r="F8" s="273"/>
      <c r="G8" s="273"/>
      <c r="H8" s="274"/>
      <c r="I8" s="164">
        <v>1.29</v>
      </c>
      <c r="J8" s="164">
        <v>1.1299999999999999</v>
      </c>
      <c r="K8" s="166">
        <v>1</v>
      </c>
      <c r="L8" s="164">
        <v>0.91</v>
      </c>
      <c r="M8" s="164">
        <v>0.82</v>
      </c>
      <c r="N8" s="178">
        <v>0.82</v>
      </c>
      <c r="O8" s="183" t="s">
        <v>320</v>
      </c>
      <c r="P8" s="189">
        <f t="shared" si="0"/>
        <v>0</v>
      </c>
      <c r="Q8" s="170">
        <f t="shared" si="1"/>
        <v>0</v>
      </c>
      <c r="R8" s="170">
        <f t="shared" si="2"/>
        <v>0</v>
      </c>
      <c r="S8" s="170">
        <f t="shared" si="3"/>
        <v>0.91</v>
      </c>
      <c r="T8" s="170">
        <f t="shared" si="4"/>
        <v>0</v>
      </c>
      <c r="U8" s="171">
        <f t="shared" si="5"/>
        <v>0</v>
      </c>
      <c r="V8" s="203">
        <f t="shared" si="6"/>
        <v>-8.9999999999999969E-2</v>
      </c>
      <c r="W8" s="204">
        <f t="shared" si="8"/>
        <v>-8.9999999999999969E-2</v>
      </c>
      <c r="X8" s="208" t="str">
        <f t="shared" si="7"/>
        <v/>
      </c>
      <c r="AE8" s="153" t="s">
        <v>287</v>
      </c>
      <c r="AF8" s="142">
        <v>0.8</v>
      </c>
      <c r="AG8" s="141"/>
      <c r="AH8" s="142"/>
      <c r="AN8" s="183" t="s">
        <v>319</v>
      </c>
    </row>
    <row r="9" spans="4:59" ht="14.25">
      <c r="D9">
        <v>4</v>
      </c>
      <c r="E9" s="272" t="s">
        <v>324</v>
      </c>
      <c r="F9" s="273"/>
      <c r="G9" s="273"/>
      <c r="H9" s="274"/>
      <c r="I9" s="164">
        <v>1.29</v>
      </c>
      <c r="J9" s="164">
        <v>1.1299999999999999</v>
      </c>
      <c r="K9" s="166">
        <v>1</v>
      </c>
      <c r="L9" s="164">
        <v>0.91</v>
      </c>
      <c r="M9" s="164">
        <v>0.82</v>
      </c>
      <c r="N9" s="178">
        <v>0.82</v>
      </c>
      <c r="O9" s="183" t="s">
        <v>319</v>
      </c>
      <c r="P9" s="189">
        <f t="shared" si="0"/>
        <v>0</v>
      </c>
      <c r="Q9" s="170">
        <f t="shared" si="1"/>
        <v>1.1299999999999999</v>
      </c>
      <c r="R9" s="170">
        <f t="shared" si="2"/>
        <v>0</v>
      </c>
      <c r="S9" s="170">
        <f t="shared" si="3"/>
        <v>0</v>
      </c>
      <c r="T9" s="170">
        <f t="shared" si="4"/>
        <v>0</v>
      </c>
      <c r="U9" s="171">
        <f t="shared" si="5"/>
        <v>0</v>
      </c>
      <c r="V9" s="203">
        <f t="shared" si="6"/>
        <v>0.12999999999999989</v>
      </c>
      <c r="W9" s="204">
        <f t="shared" si="8"/>
        <v>0</v>
      </c>
      <c r="X9" s="208" t="str">
        <f>IF(W9&gt;0,"SI",IF(IF(V9&gt;=$V$48+0,V9,0)&gt;0,"OP",""))</f>
        <v>OP</v>
      </c>
      <c r="AE9" s="153"/>
      <c r="AF9" s="142"/>
      <c r="AG9" s="141"/>
      <c r="AH9" s="142"/>
      <c r="AN9" s="183" t="s">
        <v>322</v>
      </c>
    </row>
    <row r="10" spans="4:59" ht="14.25">
      <c r="D10">
        <v>5</v>
      </c>
      <c r="E10" s="272" t="s">
        <v>303</v>
      </c>
      <c r="F10" s="273"/>
      <c r="G10" s="273"/>
      <c r="H10" s="274"/>
      <c r="I10" s="164">
        <v>0.94</v>
      </c>
      <c r="J10" s="164">
        <v>0.94</v>
      </c>
      <c r="K10" s="166">
        <v>1</v>
      </c>
      <c r="L10" s="164">
        <v>1.08</v>
      </c>
      <c r="M10" s="164">
        <v>1.1599999999999999</v>
      </c>
      <c r="N10" s="178">
        <v>1.1599999999999999</v>
      </c>
      <c r="O10" s="183" t="s">
        <v>322</v>
      </c>
      <c r="P10" s="189">
        <f t="shared" si="0"/>
        <v>0</v>
      </c>
      <c r="Q10" s="170">
        <f t="shared" si="1"/>
        <v>0</v>
      </c>
      <c r="R10" s="170">
        <f t="shared" si="2"/>
        <v>1</v>
      </c>
      <c r="S10" s="170">
        <f t="shared" si="3"/>
        <v>0</v>
      </c>
      <c r="T10" s="170">
        <f t="shared" si="4"/>
        <v>0</v>
      </c>
      <c r="U10" s="171">
        <f t="shared" si="5"/>
        <v>0</v>
      </c>
      <c r="V10" s="203">
        <f t="shared" si="6"/>
        <v>0</v>
      </c>
      <c r="W10" s="204">
        <f t="shared" si="8"/>
        <v>0</v>
      </c>
      <c r="X10" s="208" t="str">
        <f t="shared" ref="X10:X47" si="9">IF(W10&gt;0,"SI",IF(IF(V10&gt;=$V$48+0,V10,0)&gt;0,"OP",""))</f>
        <v/>
      </c>
      <c r="AE10" s="141"/>
      <c r="AF10" s="142"/>
      <c r="AG10" s="141"/>
      <c r="AH10" s="142"/>
      <c r="AN10" s="183" t="s">
        <v>319</v>
      </c>
    </row>
    <row r="11" spans="4:59" ht="14.25">
      <c r="D11">
        <v>6</v>
      </c>
      <c r="E11" s="284" t="s">
        <v>317</v>
      </c>
      <c r="F11" s="285"/>
      <c r="G11" s="285"/>
      <c r="H11" s="286"/>
      <c r="I11" s="164">
        <v>0.75</v>
      </c>
      <c r="J11" s="164">
        <v>0.88</v>
      </c>
      <c r="K11" s="166">
        <v>1</v>
      </c>
      <c r="L11" s="164">
        <v>1.1499999999999999</v>
      </c>
      <c r="M11" s="164">
        <v>1.4</v>
      </c>
      <c r="N11" s="178">
        <v>1.66</v>
      </c>
      <c r="O11" s="183" t="s">
        <v>319</v>
      </c>
      <c r="P11" s="189">
        <f t="shared" si="0"/>
        <v>0</v>
      </c>
      <c r="Q11" s="170">
        <f t="shared" si="1"/>
        <v>0.88</v>
      </c>
      <c r="R11" s="170">
        <f t="shared" si="2"/>
        <v>0</v>
      </c>
      <c r="S11" s="170">
        <f t="shared" si="3"/>
        <v>0</v>
      </c>
      <c r="T11" s="170">
        <f t="shared" si="4"/>
        <v>0</v>
      </c>
      <c r="U11" s="171">
        <f t="shared" si="5"/>
        <v>0</v>
      </c>
      <c r="V11" s="203">
        <f t="shared" si="6"/>
        <v>-0.12</v>
      </c>
      <c r="W11" s="204">
        <f t="shared" si="8"/>
        <v>-0.12</v>
      </c>
      <c r="X11" s="208" t="str">
        <f t="shared" si="9"/>
        <v/>
      </c>
      <c r="AE11" s="141"/>
      <c r="AF11" s="142"/>
      <c r="AG11" s="141"/>
      <c r="AH11" s="142"/>
      <c r="AN11" s="183" t="s">
        <v>320</v>
      </c>
    </row>
    <row r="12" spans="4:59" ht="14.25">
      <c r="D12">
        <v>7</v>
      </c>
      <c r="E12" s="275" t="s">
        <v>306</v>
      </c>
      <c r="F12" s="276"/>
      <c r="G12" s="276"/>
      <c r="H12" s="277"/>
      <c r="I12" s="164">
        <v>1.24</v>
      </c>
      <c r="J12" s="164">
        <v>1.1000000000000001</v>
      </c>
      <c r="K12" s="166">
        <v>1</v>
      </c>
      <c r="L12" s="164">
        <v>0.91</v>
      </c>
      <c r="M12" s="164">
        <v>0.82</v>
      </c>
      <c r="N12" s="178">
        <v>0.82</v>
      </c>
      <c r="O12" s="183" t="s">
        <v>319</v>
      </c>
      <c r="P12" s="189">
        <f t="shared" si="0"/>
        <v>0</v>
      </c>
      <c r="Q12" s="170">
        <f t="shared" si="1"/>
        <v>1.1000000000000001</v>
      </c>
      <c r="R12" s="170">
        <f t="shared" si="2"/>
        <v>0</v>
      </c>
      <c r="S12" s="170">
        <f t="shared" si="3"/>
        <v>0</v>
      </c>
      <c r="T12" s="170">
        <f t="shared" si="4"/>
        <v>0</v>
      </c>
      <c r="U12" s="171">
        <f t="shared" si="5"/>
        <v>0</v>
      </c>
      <c r="V12" s="203">
        <f t="shared" si="6"/>
        <v>0.10000000000000009</v>
      </c>
      <c r="W12" s="204">
        <f t="shared" si="8"/>
        <v>0</v>
      </c>
      <c r="X12" s="208" t="str">
        <f t="shared" si="9"/>
        <v/>
      </c>
      <c r="AE12" s="141"/>
      <c r="AF12" s="142"/>
      <c r="AG12" s="141"/>
      <c r="AH12" s="142"/>
      <c r="AN12" s="183" t="s">
        <v>320</v>
      </c>
    </row>
    <row r="13" spans="4:59" ht="14.25">
      <c r="D13">
        <v>8</v>
      </c>
      <c r="E13" s="275" t="s">
        <v>299</v>
      </c>
      <c r="F13" s="276"/>
      <c r="G13" s="276"/>
      <c r="H13" s="277"/>
      <c r="I13" s="164">
        <v>1.24</v>
      </c>
      <c r="J13" s="164">
        <v>1.1000000000000001</v>
      </c>
      <c r="K13" s="166">
        <v>1</v>
      </c>
      <c r="L13" s="164">
        <v>0.91</v>
      </c>
      <c r="M13" s="164">
        <v>0.83</v>
      </c>
      <c r="N13" s="178">
        <v>0.83</v>
      </c>
      <c r="O13" s="183" t="s">
        <v>319</v>
      </c>
      <c r="P13" s="189">
        <f t="shared" si="0"/>
        <v>0</v>
      </c>
      <c r="Q13" s="170">
        <f t="shared" si="1"/>
        <v>1.1000000000000001</v>
      </c>
      <c r="R13" s="170">
        <f t="shared" si="2"/>
        <v>0</v>
      </c>
      <c r="S13" s="170">
        <f t="shared" si="3"/>
        <v>0</v>
      </c>
      <c r="T13" s="170">
        <f t="shared" si="4"/>
        <v>0</v>
      </c>
      <c r="U13" s="171">
        <f t="shared" si="5"/>
        <v>0</v>
      </c>
      <c r="V13" s="203">
        <f t="shared" si="6"/>
        <v>0.10000000000000009</v>
      </c>
      <c r="W13" s="204">
        <f t="shared" si="8"/>
        <v>0</v>
      </c>
      <c r="X13" s="208" t="str">
        <f t="shared" si="9"/>
        <v/>
      </c>
      <c r="AE13" s="141"/>
      <c r="AF13" s="142"/>
      <c r="AG13" s="141"/>
      <c r="AH13" s="142"/>
      <c r="AN13" s="183" t="s">
        <v>319</v>
      </c>
    </row>
    <row r="14" spans="4:59" ht="14.25">
      <c r="D14">
        <v>9</v>
      </c>
      <c r="E14" s="284" t="s">
        <v>310</v>
      </c>
      <c r="F14" s="285"/>
      <c r="G14" s="285"/>
      <c r="H14" s="286"/>
      <c r="I14" s="164">
        <v>0.75</v>
      </c>
      <c r="J14" s="164">
        <v>0.88</v>
      </c>
      <c r="K14" s="166">
        <v>1</v>
      </c>
      <c r="L14" s="164">
        <v>1.1499999999999999</v>
      </c>
      <c r="M14" s="164">
        <v>1.4</v>
      </c>
      <c r="N14" s="178">
        <v>1.66</v>
      </c>
      <c r="O14" s="183" t="s">
        <v>319</v>
      </c>
      <c r="P14" s="189">
        <f t="shared" si="0"/>
        <v>0</v>
      </c>
      <c r="Q14" s="170">
        <f t="shared" si="1"/>
        <v>0.88</v>
      </c>
      <c r="R14" s="170">
        <f t="shared" si="2"/>
        <v>0</v>
      </c>
      <c r="S14" s="170">
        <f t="shared" si="3"/>
        <v>0</v>
      </c>
      <c r="T14" s="170">
        <f t="shared" si="4"/>
        <v>0</v>
      </c>
      <c r="U14" s="171">
        <f t="shared" si="5"/>
        <v>0</v>
      </c>
      <c r="V14" s="203">
        <f>SUM(P14:U14)-1</f>
        <v>-0.12</v>
      </c>
      <c r="W14" s="204">
        <f t="shared" si="8"/>
        <v>-0.12</v>
      </c>
      <c r="X14" s="208" t="str">
        <f t="shared" si="9"/>
        <v/>
      </c>
      <c r="AE14" s="141" t="s">
        <v>288</v>
      </c>
      <c r="AF14" s="142">
        <v>0.7</v>
      </c>
      <c r="AG14" s="141"/>
      <c r="AH14" s="142"/>
      <c r="AN14" s="183" t="s">
        <v>319</v>
      </c>
    </row>
    <row r="15" spans="4:59" ht="15">
      <c r="E15" s="287" t="s">
        <v>302</v>
      </c>
      <c r="F15" s="288"/>
      <c r="G15" s="288"/>
      <c r="H15" s="289"/>
      <c r="I15" s="161"/>
      <c r="J15" s="161"/>
      <c r="K15" s="163"/>
      <c r="L15" s="161"/>
      <c r="M15" s="161"/>
      <c r="N15" s="179"/>
      <c r="O15" s="184"/>
      <c r="P15" s="190"/>
      <c r="Q15" s="172"/>
      <c r="R15" s="172"/>
      <c r="S15" s="172"/>
      <c r="T15" s="172"/>
      <c r="U15" s="173"/>
      <c r="V15" s="205"/>
      <c r="W15" s="205"/>
      <c r="X15" s="209"/>
      <c r="AE15" s="268" t="s">
        <v>289</v>
      </c>
      <c r="AF15" s="268">
        <v>0.6</v>
      </c>
      <c r="AG15" s="268"/>
      <c r="AH15" s="268"/>
      <c r="AN15" s="183" t="s">
        <v>322</v>
      </c>
    </row>
    <row r="16" spans="4:59" ht="14.25">
      <c r="D16">
        <v>21</v>
      </c>
      <c r="E16" s="272" t="s">
        <v>190</v>
      </c>
      <c r="F16" s="273"/>
      <c r="G16" s="273"/>
      <c r="H16" s="274"/>
      <c r="I16" s="164">
        <v>0.94</v>
      </c>
      <c r="J16" s="164">
        <v>0.94</v>
      </c>
      <c r="K16" s="166">
        <v>1</v>
      </c>
      <c r="L16" s="164">
        <v>1.08</v>
      </c>
      <c r="M16" s="164">
        <v>1.1599999999999999</v>
      </c>
      <c r="N16" s="178">
        <v>1.1599999999999999</v>
      </c>
      <c r="O16" s="183" t="s">
        <v>322</v>
      </c>
      <c r="P16" s="189">
        <f t="shared" ref="P16:U19" si="10">IF($O16=I$4,I16, 0)</f>
        <v>0</v>
      </c>
      <c r="Q16" s="170">
        <f t="shared" si="10"/>
        <v>0</v>
      </c>
      <c r="R16" s="170">
        <f t="shared" si="10"/>
        <v>1</v>
      </c>
      <c r="S16" s="170">
        <f t="shared" si="10"/>
        <v>0</v>
      </c>
      <c r="T16" s="170">
        <f t="shared" si="10"/>
        <v>0</v>
      </c>
      <c r="U16" s="171">
        <f t="shared" si="10"/>
        <v>0</v>
      </c>
      <c r="V16" s="203">
        <f t="shared" ref="V16:V47" si="11">SUM(P16:U16)-1</f>
        <v>0</v>
      </c>
      <c r="W16" s="204">
        <f t="shared" si="8"/>
        <v>0</v>
      </c>
      <c r="X16" s="208" t="str">
        <f t="shared" si="9"/>
        <v/>
      </c>
      <c r="AE16" s="268" t="s">
        <v>290</v>
      </c>
      <c r="AF16" s="268">
        <v>0.5</v>
      </c>
      <c r="AG16" s="268"/>
      <c r="AH16" s="268"/>
      <c r="AN16" s="184"/>
    </row>
    <row r="17" spans="4:40" ht="14.25">
      <c r="D17">
        <v>22</v>
      </c>
      <c r="E17" s="272" t="s">
        <v>338</v>
      </c>
      <c r="F17" s="273"/>
      <c r="G17" s="273"/>
      <c r="H17" s="274"/>
      <c r="I17" s="164">
        <v>1.29</v>
      </c>
      <c r="J17" s="164">
        <v>1.1299999999999999</v>
      </c>
      <c r="K17" s="166">
        <v>1</v>
      </c>
      <c r="L17" s="164">
        <v>0.91</v>
      </c>
      <c r="M17" s="164">
        <v>0.82</v>
      </c>
      <c r="N17" s="178">
        <v>0.82</v>
      </c>
      <c r="O17" s="183" t="s">
        <v>320</v>
      </c>
      <c r="P17" s="189">
        <f t="shared" si="10"/>
        <v>0</v>
      </c>
      <c r="Q17" s="170">
        <f t="shared" si="10"/>
        <v>0</v>
      </c>
      <c r="R17" s="170">
        <f t="shared" si="10"/>
        <v>0</v>
      </c>
      <c r="S17" s="170">
        <f t="shared" si="10"/>
        <v>0.91</v>
      </c>
      <c r="T17" s="170">
        <f t="shared" si="10"/>
        <v>0</v>
      </c>
      <c r="U17" s="171">
        <f t="shared" si="10"/>
        <v>0</v>
      </c>
      <c r="V17" s="203">
        <f t="shared" si="11"/>
        <v>-8.9999999999999969E-2</v>
      </c>
      <c r="W17" s="204">
        <f t="shared" si="8"/>
        <v>-8.9999999999999969E-2</v>
      </c>
      <c r="X17" s="208" t="str">
        <f t="shared" si="9"/>
        <v/>
      </c>
      <c r="AE17" s="153" t="s">
        <v>291</v>
      </c>
      <c r="AF17" s="142">
        <v>0.3</v>
      </c>
      <c r="AG17" s="141"/>
      <c r="AH17" s="142"/>
      <c r="AN17" s="183" t="s">
        <v>322</v>
      </c>
    </row>
    <row r="18" spans="4:40" ht="14.25">
      <c r="D18">
        <v>23</v>
      </c>
      <c r="E18" s="272" t="s">
        <v>202</v>
      </c>
      <c r="F18" s="273"/>
      <c r="G18" s="273"/>
      <c r="H18" s="274"/>
      <c r="I18" s="164">
        <v>1.29</v>
      </c>
      <c r="J18" s="164">
        <v>1.1299999999999999</v>
      </c>
      <c r="K18" s="166">
        <v>1</v>
      </c>
      <c r="L18" s="164">
        <v>0.91</v>
      </c>
      <c r="M18" s="164">
        <v>0.91</v>
      </c>
      <c r="N18" s="178">
        <v>0.82</v>
      </c>
      <c r="O18" s="183" t="s">
        <v>322</v>
      </c>
      <c r="P18" s="189">
        <f t="shared" si="10"/>
        <v>0</v>
      </c>
      <c r="Q18" s="170">
        <f t="shared" si="10"/>
        <v>0</v>
      </c>
      <c r="R18" s="170">
        <f t="shared" si="10"/>
        <v>1</v>
      </c>
      <c r="S18" s="170">
        <f t="shared" si="10"/>
        <v>0</v>
      </c>
      <c r="T18" s="170">
        <f t="shared" si="10"/>
        <v>0</v>
      </c>
      <c r="U18" s="171">
        <f t="shared" si="10"/>
        <v>0</v>
      </c>
      <c r="V18" s="203">
        <f t="shared" si="11"/>
        <v>0</v>
      </c>
      <c r="W18" s="204">
        <f t="shared" si="8"/>
        <v>0</v>
      </c>
      <c r="X18" s="208" t="str">
        <f t="shared" si="9"/>
        <v/>
      </c>
      <c r="AE18" s="141"/>
      <c r="AF18" s="142"/>
      <c r="AG18" s="141"/>
      <c r="AH18" s="142"/>
      <c r="AN18" s="183" t="s">
        <v>319</v>
      </c>
    </row>
    <row r="19" spans="4:40" ht="14.25">
      <c r="D19">
        <v>24</v>
      </c>
      <c r="E19" s="278" t="s">
        <v>301</v>
      </c>
      <c r="F19" s="279"/>
      <c r="G19" s="279"/>
      <c r="H19" s="280"/>
      <c r="I19" s="164">
        <v>1.29</v>
      </c>
      <c r="J19" s="164">
        <v>1.1299999999999999</v>
      </c>
      <c r="K19" s="166">
        <v>1</v>
      </c>
      <c r="L19" s="164">
        <v>0.91</v>
      </c>
      <c r="M19" s="164">
        <v>0.82</v>
      </c>
      <c r="N19" s="178">
        <v>0.82</v>
      </c>
      <c r="O19" s="183" t="s">
        <v>319</v>
      </c>
      <c r="P19" s="189">
        <f t="shared" si="10"/>
        <v>0</v>
      </c>
      <c r="Q19" s="170">
        <f t="shared" si="10"/>
        <v>1.1299999999999999</v>
      </c>
      <c r="R19" s="170">
        <f t="shared" si="10"/>
        <v>0</v>
      </c>
      <c r="S19" s="170">
        <f t="shared" si="10"/>
        <v>0</v>
      </c>
      <c r="T19" s="170">
        <f t="shared" si="10"/>
        <v>0</v>
      </c>
      <c r="U19" s="171">
        <f t="shared" si="10"/>
        <v>0</v>
      </c>
      <c r="V19" s="203">
        <f t="shared" si="11"/>
        <v>0.12999999999999989</v>
      </c>
      <c r="W19" s="204">
        <f t="shared" si="8"/>
        <v>0</v>
      </c>
      <c r="X19" s="208" t="str">
        <f t="shared" si="9"/>
        <v>OP</v>
      </c>
      <c r="AE19" s="153" t="s">
        <v>292</v>
      </c>
      <c r="AF19" s="142">
        <v>0.3</v>
      </c>
      <c r="AG19" s="141"/>
      <c r="AH19" s="142"/>
      <c r="AN19" s="183" t="s">
        <v>319</v>
      </c>
    </row>
    <row r="20" spans="4:40" ht="15">
      <c r="E20" s="287" t="s">
        <v>283</v>
      </c>
      <c r="F20" s="288"/>
      <c r="G20" s="288"/>
      <c r="H20" s="289"/>
      <c r="I20" s="160"/>
      <c r="J20" s="160"/>
      <c r="K20" s="162"/>
      <c r="L20" s="160"/>
      <c r="M20" s="160"/>
      <c r="N20" s="177"/>
      <c r="O20" s="184"/>
      <c r="P20" s="190"/>
      <c r="Q20" s="172"/>
      <c r="R20" s="172"/>
      <c r="S20" s="172"/>
      <c r="T20" s="172"/>
      <c r="U20" s="173"/>
      <c r="V20" s="205"/>
      <c r="W20" s="205"/>
      <c r="X20" s="209"/>
      <c r="AE20" s="153" t="s">
        <v>293</v>
      </c>
      <c r="AF20" s="142">
        <v>0.2</v>
      </c>
      <c r="AG20" s="141"/>
      <c r="AH20" s="142"/>
      <c r="AN20" s="183" t="s">
        <v>319</v>
      </c>
    </row>
    <row r="21" spans="4:40" ht="15" thickBot="1">
      <c r="D21">
        <v>41</v>
      </c>
      <c r="E21" s="275" t="s">
        <v>308</v>
      </c>
      <c r="F21" s="276"/>
      <c r="G21" s="276"/>
      <c r="H21" s="277"/>
      <c r="I21" s="165">
        <v>0.7</v>
      </c>
      <c r="J21" s="165">
        <v>0.85</v>
      </c>
      <c r="K21" s="167">
        <v>1</v>
      </c>
      <c r="L21" s="165">
        <v>1.1499999999999999</v>
      </c>
      <c r="M21" s="165">
        <v>1.3</v>
      </c>
      <c r="N21" s="180">
        <v>1.65</v>
      </c>
      <c r="O21" s="183" t="s">
        <v>321</v>
      </c>
      <c r="P21" s="189">
        <f t="shared" ref="P21:P34" si="12">IF($O21=I$4,I21, 0)</f>
        <v>0</v>
      </c>
      <c r="Q21" s="170">
        <f t="shared" ref="Q21:Q34" si="13">IF($O21=J$4,J21, 0)</f>
        <v>0</v>
      </c>
      <c r="R21" s="170">
        <f t="shared" ref="R21:R34" si="14">IF($O21=K$4,K21, 0)</f>
        <v>0</v>
      </c>
      <c r="S21" s="170">
        <f t="shared" ref="S21:S34" si="15">IF($O21=L$4,L21, 0)</f>
        <v>0</v>
      </c>
      <c r="T21" s="170">
        <f t="shared" ref="T21:T34" si="16">IF($O21=M$4,M21, 0)</f>
        <v>1.3</v>
      </c>
      <c r="U21" s="171">
        <f t="shared" ref="U21:U34" si="17">IF($O21=N$4,N21, 0)</f>
        <v>0</v>
      </c>
      <c r="V21" s="203">
        <f t="shared" si="11"/>
        <v>0.30000000000000004</v>
      </c>
      <c r="W21" s="204">
        <f t="shared" si="8"/>
        <v>0.30000000000000004</v>
      </c>
      <c r="X21" s="208" t="str">
        <f t="shared" si="9"/>
        <v>SI</v>
      </c>
      <c r="AE21" s="153" t="s">
        <v>294</v>
      </c>
      <c r="AF21" s="142">
        <v>0.1</v>
      </c>
      <c r="AG21" s="141"/>
      <c r="AH21" s="142"/>
      <c r="AN21" s="184"/>
    </row>
    <row r="22" spans="4:40" ht="14.25">
      <c r="D22">
        <v>42</v>
      </c>
      <c r="E22" s="278" t="s">
        <v>309</v>
      </c>
      <c r="F22" s="279"/>
      <c r="G22" s="279"/>
      <c r="H22" s="280"/>
      <c r="I22" s="164">
        <v>0.94</v>
      </c>
      <c r="J22" s="164">
        <v>0.94</v>
      </c>
      <c r="K22" s="166">
        <v>1</v>
      </c>
      <c r="L22" s="164">
        <v>1.08</v>
      </c>
      <c r="M22" s="164">
        <v>1.1599999999999999</v>
      </c>
      <c r="N22" s="178">
        <v>1.1599999999999999</v>
      </c>
      <c r="O22" s="183" t="s">
        <v>321</v>
      </c>
      <c r="P22" s="189">
        <f t="shared" si="12"/>
        <v>0</v>
      </c>
      <c r="Q22" s="170">
        <f t="shared" si="13"/>
        <v>0</v>
      </c>
      <c r="R22" s="170">
        <f t="shared" si="14"/>
        <v>0</v>
      </c>
      <c r="S22" s="170">
        <f t="shared" si="15"/>
        <v>0</v>
      </c>
      <c r="T22" s="170">
        <f t="shared" si="16"/>
        <v>1.1599999999999999</v>
      </c>
      <c r="U22" s="171">
        <f t="shared" si="17"/>
        <v>0</v>
      </c>
      <c r="V22" s="203">
        <f t="shared" si="11"/>
        <v>0.15999999999999992</v>
      </c>
      <c r="W22" s="204">
        <f t="shared" si="8"/>
        <v>0.15999999999999992</v>
      </c>
      <c r="X22" s="208" t="str">
        <f t="shared" si="9"/>
        <v>SI</v>
      </c>
      <c r="AE22" s="153"/>
      <c r="AF22" s="142"/>
      <c r="AG22" s="141"/>
      <c r="AH22" s="142"/>
      <c r="AN22" s="183" t="s">
        <v>320</v>
      </c>
    </row>
    <row r="23" spans="4:40" ht="14.25">
      <c r="D23">
        <v>43</v>
      </c>
      <c r="E23" s="272" t="s">
        <v>342</v>
      </c>
      <c r="F23" s="273"/>
      <c r="G23" s="273"/>
      <c r="H23" s="274"/>
      <c r="I23" s="164">
        <v>1.29</v>
      </c>
      <c r="J23" s="164">
        <v>1.1299999999999999</v>
      </c>
      <c r="K23" s="166">
        <v>1</v>
      </c>
      <c r="L23" s="164">
        <v>0.91</v>
      </c>
      <c r="M23" s="164">
        <v>0.82</v>
      </c>
      <c r="N23" s="178">
        <v>0.82</v>
      </c>
      <c r="O23" s="183" t="s">
        <v>322</v>
      </c>
      <c r="P23" s="189">
        <f t="shared" si="12"/>
        <v>0</v>
      </c>
      <c r="Q23" s="170">
        <f t="shared" si="13"/>
        <v>0</v>
      </c>
      <c r="R23" s="170">
        <f t="shared" si="14"/>
        <v>1</v>
      </c>
      <c r="S23" s="170">
        <f t="shared" si="15"/>
        <v>0</v>
      </c>
      <c r="T23" s="170">
        <f t="shared" si="16"/>
        <v>0</v>
      </c>
      <c r="U23" s="171">
        <f t="shared" si="17"/>
        <v>0</v>
      </c>
      <c r="V23" s="203">
        <f t="shared" si="11"/>
        <v>0</v>
      </c>
      <c r="W23" s="204">
        <f t="shared" si="8"/>
        <v>0</v>
      </c>
      <c r="X23" s="208" t="str">
        <f t="shared" si="9"/>
        <v/>
      </c>
      <c r="AE23" s="153" t="s">
        <v>295</v>
      </c>
      <c r="AF23" s="142">
        <v>0.1</v>
      </c>
      <c r="AG23" s="141"/>
      <c r="AH23" s="142"/>
      <c r="AN23" s="183" t="s">
        <v>322</v>
      </c>
    </row>
    <row r="24" spans="4:40" ht="14.25">
      <c r="D24">
        <v>44</v>
      </c>
      <c r="E24" s="278" t="s">
        <v>312</v>
      </c>
      <c r="F24" s="279"/>
      <c r="G24" s="279"/>
      <c r="H24" s="280"/>
      <c r="I24" s="164">
        <v>1.29</v>
      </c>
      <c r="J24" s="164">
        <v>1.1299999999999999</v>
      </c>
      <c r="K24" s="166">
        <v>1</v>
      </c>
      <c r="L24" s="164">
        <v>0.91</v>
      </c>
      <c r="M24" s="164">
        <v>0.82</v>
      </c>
      <c r="N24" s="178">
        <v>0.82</v>
      </c>
      <c r="O24" s="183" t="s">
        <v>319</v>
      </c>
      <c r="P24" s="189">
        <f t="shared" si="12"/>
        <v>0</v>
      </c>
      <c r="Q24" s="170">
        <f t="shared" si="13"/>
        <v>1.1299999999999999</v>
      </c>
      <c r="R24" s="170">
        <f t="shared" si="14"/>
        <v>0</v>
      </c>
      <c r="S24" s="170">
        <f t="shared" si="15"/>
        <v>0</v>
      </c>
      <c r="T24" s="170">
        <f t="shared" si="16"/>
        <v>0</v>
      </c>
      <c r="U24" s="171">
        <f t="shared" si="17"/>
        <v>0</v>
      </c>
      <c r="V24" s="203">
        <f t="shared" si="11"/>
        <v>0.12999999999999989</v>
      </c>
      <c r="W24" s="204">
        <f t="shared" si="8"/>
        <v>0</v>
      </c>
      <c r="X24" s="208" t="str">
        <f t="shared" si="9"/>
        <v>OP</v>
      </c>
      <c r="AE24" s="153"/>
      <c r="AF24" s="142"/>
      <c r="AG24" s="141"/>
      <c r="AH24" s="142"/>
      <c r="AN24" s="183" t="s">
        <v>319</v>
      </c>
    </row>
    <row r="25" spans="4:40" ht="14.25">
      <c r="D25">
        <v>45</v>
      </c>
      <c r="E25" s="278" t="s">
        <v>313</v>
      </c>
      <c r="F25" s="279"/>
      <c r="G25" s="279"/>
      <c r="H25" s="280"/>
      <c r="I25" s="164">
        <v>0.94</v>
      </c>
      <c r="J25" s="164">
        <v>0.94</v>
      </c>
      <c r="K25" s="166">
        <v>1</v>
      </c>
      <c r="L25" s="164">
        <v>1.08</v>
      </c>
      <c r="M25" s="164">
        <v>1.1599999999999999</v>
      </c>
      <c r="N25" s="178">
        <v>1.1599999999999999</v>
      </c>
      <c r="O25" s="183" t="s">
        <v>319</v>
      </c>
      <c r="P25" s="189">
        <f t="shared" si="12"/>
        <v>0</v>
      </c>
      <c r="Q25" s="170">
        <f t="shared" si="13"/>
        <v>0.94</v>
      </c>
      <c r="R25" s="170">
        <f t="shared" si="14"/>
        <v>0</v>
      </c>
      <c r="S25" s="170">
        <f t="shared" si="15"/>
        <v>0</v>
      </c>
      <c r="T25" s="170">
        <f t="shared" si="16"/>
        <v>0</v>
      </c>
      <c r="U25" s="171">
        <f t="shared" si="17"/>
        <v>0</v>
      </c>
      <c r="V25" s="203">
        <f t="shared" si="11"/>
        <v>-6.0000000000000053E-2</v>
      </c>
      <c r="W25" s="204">
        <f t="shared" si="8"/>
        <v>-6.0000000000000053E-2</v>
      </c>
      <c r="X25" s="208" t="str">
        <f t="shared" si="9"/>
        <v/>
      </c>
      <c r="AN25" s="183" t="s">
        <v>319</v>
      </c>
    </row>
    <row r="26" spans="4:40" ht="14.25">
      <c r="D26">
        <v>46</v>
      </c>
      <c r="E26" s="272" t="s">
        <v>113</v>
      </c>
      <c r="F26" s="273"/>
      <c r="G26" s="273"/>
      <c r="H26" s="274"/>
      <c r="I26" s="164">
        <v>0.94</v>
      </c>
      <c r="J26" s="164">
        <v>0.94</v>
      </c>
      <c r="K26" s="166">
        <v>1</v>
      </c>
      <c r="L26" s="164">
        <v>1.08</v>
      </c>
      <c r="M26" s="164">
        <v>1.1599999999999999</v>
      </c>
      <c r="N26" s="178">
        <v>1.1599999999999999</v>
      </c>
      <c r="O26" s="183" t="s">
        <v>322</v>
      </c>
      <c r="P26" s="189">
        <f t="shared" si="12"/>
        <v>0</v>
      </c>
      <c r="Q26" s="170">
        <f t="shared" si="13"/>
        <v>0</v>
      </c>
      <c r="R26" s="170">
        <f t="shared" si="14"/>
        <v>1</v>
      </c>
      <c r="S26" s="170">
        <f t="shared" si="15"/>
        <v>0</v>
      </c>
      <c r="T26" s="170">
        <f t="shared" si="16"/>
        <v>0</v>
      </c>
      <c r="U26" s="171">
        <f t="shared" si="17"/>
        <v>0</v>
      </c>
      <c r="V26" s="203">
        <f t="shared" si="11"/>
        <v>0</v>
      </c>
      <c r="W26" s="204">
        <f t="shared" si="8"/>
        <v>0</v>
      </c>
      <c r="X26" s="208" t="str">
        <f t="shared" si="9"/>
        <v/>
      </c>
      <c r="AN26" s="183" t="s">
        <v>322</v>
      </c>
    </row>
    <row r="27" spans="4:40" ht="14.25">
      <c r="D27">
        <v>47</v>
      </c>
      <c r="E27" s="272" t="s">
        <v>285</v>
      </c>
      <c r="F27" s="273"/>
      <c r="G27" s="273"/>
      <c r="H27" s="274"/>
      <c r="I27" s="164">
        <v>0.94</v>
      </c>
      <c r="J27" s="164">
        <v>0.94</v>
      </c>
      <c r="K27" s="166">
        <v>1</v>
      </c>
      <c r="L27" s="164">
        <v>1.08</v>
      </c>
      <c r="M27" s="164">
        <v>1.1599999999999999</v>
      </c>
      <c r="N27" s="178">
        <v>1.1599999999999999</v>
      </c>
      <c r="O27" s="183" t="s">
        <v>319</v>
      </c>
      <c r="P27" s="189">
        <f t="shared" si="12"/>
        <v>0</v>
      </c>
      <c r="Q27" s="170">
        <f t="shared" si="13"/>
        <v>0.94</v>
      </c>
      <c r="R27" s="170">
        <f t="shared" si="14"/>
        <v>0</v>
      </c>
      <c r="S27" s="170">
        <f t="shared" si="15"/>
        <v>0</v>
      </c>
      <c r="T27" s="170">
        <f t="shared" si="16"/>
        <v>0</v>
      </c>
      <c r="U27" s="171">
        <f t="shared" si="17"/>
        <v>0</v>
      </c>
      <c r="V27" s="203">
        <f t="shared" si="11"/>
        <v>-6.0000000000000053E-2</v>
      </c>
      <c r="W27" s="204">
        <f t="shared" si="8"/>
        <v>-6.0000000000000053E-2</v>
      </c>
      <c r="X27" s="208" t="str">
        <f t="shared" si="9"/>
        <v/>
      </c>
      <c r="AN27" s="183" t="s">
        <v>322</v>
      </c>
    </row>
    <row r="28" spans="4:40" ht="14.25">
      <c r="D28">
        <v>48</v>
      </c>
      <c r="E28" s="272" t="s">
        <v>225</v>
      </c>
      <c r="F28" s="273"/>
      <c r="G28" s="273"/>
      <c r="H28" s="274"/>
      <c r="I28" s="164">
        <v>0.94</v>
      </c>
      <c r="J28" s="164">
        <v>0.94</v>
      </c>
      <c r="K28" s="166">
        <v>1</v>
      </c>
      <c r="L28" s="164">
        <v>1.08</v>
      </c>
      <c r="M28" s="164">
        <v>1.1599999999999999</v>
      </c>
      <c r="N28" s="178">
        <v>1.1599999999999999</v>
      </c>
      <c r="O28" s="183" t="s">
        <v>320</v>
      </c>
      <c r="P28" s="189">
        <f t="shared" si="12"/>
        <v>0</v>
      </c>
      <c r="Q28" s="170">
        <f t="shared" si="13"/>
        <v>0</v>
      </c>
      <c r="R28" s="170">
        <f t="shared" si="14"/>
        <v>0</v>
      </c>
      <c r="S28" s="170">
        <f t="shared" si="15"/>
        <v>1.08</v>
      </c>
      <c r="T28" s="170">
        <f t="shared" si="16"/>
        <v>0</v>
      </c>
      <c r="U28" s="171">
        <f t="shared" si="17"/>
        <v>0</v>
      </c>
      <c r="V28" s="203">
        <f t="shared" si="11"/>
        <v>8.0000000000000071E-2</v>
      </c>
      <c r="W28" s="204">
        <f t="shared" si="8"/>
        <v>0</v>
      </c>
      <c r="X28" s="208" t="str">
        <f t="shared" si="9"/>
        <v/>
      </c>
      <c r="AN28" s="183" t="s">
        <v>322</v>
      </c>
    </row>
    <row r="29" spans="4:40" ht="14.25">
      <c r="D29">
        <v>49</v>
      </c>
      <c r="E29" s="272" t="s">
        <v>230</v>
      </c>
      <c r="F29" s="273"/>
      <c r="G29" s="273"/>
      <c r="H29" s="274"/>
      <c r="I29" s="164">
        <v>0.94</v>
      </c>
      <c r="J29" s="164">
        <v>0.94</v>
      </c>
      <c r="K29" s="166">
        <v>1</v>
      </c>
      <c r="L29" s="164">
        <v>1.08</v>
      </c>
      <c r="M29" s="164">
        <v>1.1599999999999999</v>
      </c>
      <c r="N29" s="178">
        <v>1.1599999999999999</v>
      </c>
      <c r="O29" s="183" t="s">
        <v>320</v>
      </c>
      <c r="P29" s="189">
        <f t="shared" si="12"/>
        <v>0</v>
      </c>
      <c r="Q29" s="170">
        <f t="shared" si="13"/>
        <v>0</v>
      </c>
      <c r="R29" s="170">
        <f t="shared" si="14"/>
        <v>0</v>
      </c>
      <c r="S29" s="170">
        <f t="shared" si="15"/>
        <v>1.08</v>
      </c>
      <c r="T29" s="170">
        <f t="shared" si="16"/>
        <v>0</v>
      </c>
      <c r="U29" s="171">
        <f t="shared" si="17"/>
        <v>0</v>
      </c>
      <c r="V29" s="203">
        <f t="shared" si="11"/>
        <v>8.0000000000000071E-2</v>
      </c>
      <c r="W29" s="204">
        <f t="shared" si="8"/>
        <v>0</v>
      </c>
      <c r="X29" s="208" t="str">
        <f t="shared" si="9"/>
        <v/>
      </c>
      <c r="AN29" s="183" t="s">
        <v>320</v>
      </c>
    </row>
    <row r="30" spans="4:40" ht="14.25">
      <c r="D30">
        <v>50</v>
      </c>
      <c r="E30" s="275" t="s">
        <v>340</v>
      </c>
      <c r="F30" s="276"/>
      <c r="G30" s="276"/>
      <c r="H30" s="277"/>
      <c r="I30" s="164">
        <v>0.75</v>
      </c>
      <c r="J30" s="164">
        <v>0.88</v>
      </c>
      <c r="K30" s="166">
        <v>1</v>
      </c>
      <c r="L30" s="164">
        <v>1.1499999999999999</v>
      </c>
      <c r="M30" s="164">
        <v>1.4</v>
      </c>
      <c r="N30" s="178">
        <v>1.4</v>
      </c>
      <c r="O30" s="183" t="s">
        <v>322</v>
      </c>
      <c r="P30" s="189">
        <f t="shared" si="12"/>
        <v>0</v>
      </c>
      <c r="Q30" s="170">
        <f t="shared" si="13"/>
        <v>0</v>
      </c>
      <c r="R30" s="170">
        <f t="shared" si="14"/>
        <v>1</v>
      </c>
      <c r="S30" s="170">
        <f t="shared" si="15"/>
        <v>0</v>
      </c>
      <c r="T30" s="170">
        <f t="shared" si="16"/>
        <v>0</v>
      </c>
      <c r="U30" s="171">
        <f t="shared" si="17"/>
        <v>0</v>
      </c>
      <c r="V30" s="203">
        <f t="shared" si="11"/>
        <v>0</v>
      </c>
      <c r="W30" s="204">
        <f t="shared" si="8"/>
        <v>0</v>
      </c>
      <c r="X30" s="208" t="str">
        <f t="shared" si="9"/>
        <v/>
      </c>
      <c r="AN30" s="183" t="s">
        <v>322</v>
      </c>
    </row>
    <row r="31" spans="4:40" ht="14.25">
      <c r="D31">
        <v>51</v>
      </c>
      <c r="E31" s="275" t="s">
        <v>296</v>
      </c>
      <c r="F31" s="276"/>
      <c r="G31" s="276"/>
      <c r="H31" s="277"/>
      <c r="I31" s="164">
        <v>0.94</v>
      </c>
      <c r="J31" s="164">
        <v>0.94</v>
      </c>
      <c r="K31" s="166">
        <v>1</v>
      </c>
      <c r="L31" s="164">
        <v>1.08</v>
      </c>
      <c r="M31" s="164">
        <v>1.1599999999999999</v>
      </c>
      <c r="N31" s="178">
        <v>1.1599999999999999</v>
      </c>
      <c r="O31" s="183" t="s">
        <v>321</v>
      </c>
      <c r="P31" s="189">
        <f t="shared" si="12"/>
        <v>0</v>
      </c>
      <c r="Q31" s="170">
        <f t="shared" si="13"/>
        <v>0</v>
      </c>
      <c r="R31" s="170">
        <f t="shared" si="14"/>
        <v>0</v>
      </c>
      <c r="S31" s="170">
        <f t="shared" si="15"/>
        <v>0</v>
      </c>
      <c r="T31" s="170">
        <f t="shared" si="16"/>
        <v>1.1599999999999999</v>
      </c>
      <c r="U31" s="171">
        <f t="shared" si="17"/>
        <v>0</v>
      </c>
      <c r="V31" s="203">
        <f t="shared" si="11"/>
        <v>0.15999999999999992</v>
      </c>
      <c r="W31" s="204">
        <f t="shared" si="8"/>
        <v>0.15999999999999992</v>
      </c>
      <c r="X31" s="208" t="str">
        <f t="shared" si="9"/>
        <v>SI</v>
      </c>
      <c r="AN31" s="183" t="s">
        <v>322</v>
      </c>
    </row>
    <row r="32" spans="4:40" ht="15" thickBot="1">
      <c r="D32">
        <v>52</v>
      </c>
      <c r="E32" s="275" t="s">
        <v>298</v>
      </c>
      <c r="F32" s="276"/>
      <c r="G32" s="276"/>
      <c r="H32" s="277"/>
      <c r="I32" s="164">
        <v>1.29</v>
      </c>
      <c r="J32" s="165">
        <v>1.07</v>
      </c>
      <c r="K32" s="167">
        <v>1</v>
      </c>
      <c r="L32" s="165">
        <v>0.95</v>
      </c>
      <c r="M32" s="165">
        <v>0.95</v>
      </c>
      <c r="N32" s="180">
        <v>0.95</v>
      </c>
      <c r="O32" s="183" t="s">
        <v>319</v>
      </c>
      <c r="P32" s="189">
        <f t="shared" si="12"/>
        <v>0</v>
      </c>
      <c r="Q32" s="170">
        <f t="shared" si="13"/>
        <v>1.07</v>
      </c>
      <c r="R32" s="170">
        <f t="shared" si="14"/>
        <v>0</v>
      </c>
      <c r="S32" s="170">
        <f t="shared" si="15"/>
        <v>0</v>
      </c>
      <c r="T32" s="170">
        <f t="shared" si="16"/>
        <v>0</v>
      </c>
      <c r="U32" s="171">
        <f t="shared" si="17"/>
        <v>0</v>
      </c>
      <c r="V32" s="203">
        <f t="shared" si="11"/>
        <v>7.0000000000000062E-2</v>
      </c>
      <c r="W32" s="204">
        <f t="shared" si="8"/>
        <v>0</v>
      </c>
      <c r="X32" s="208" t="str">
        <f t="shared" si="9"/>
        <v/>
      </c>
      <c r="AN32" s="183" t="s">
        <v>322</v>
      </c>
    </row>
    <row r="33" spans="4:40" ht="14.25">
      <c r="D33">
        <v>53</v>
      </c>
      <c r="E33" s="290" t="s">
        <v>316</v>
      </c>
      <c r="F33" s="291"/>
      <c r="G33" s="291"/>
      <c r="H33" s="292"/>
      <c r="I33" s="164">
        <v>1.29</v>
      </c>
      <c r="J33" s="164">
        <v>1.1299999999999999</v>
      </c>
      <c r="K33" s="166">
        <v>1</v>
      </c>
      <c r="L33" s="164">
        <v>0.91</v>
      </c>
      <c r="M33" s="164">
        <v>0.82</v>
      </c>
      <c r="N33" s="178">
        <v>0.82</v>
      </c>
      <c r="O33" s="183" t="s">
        <v>320</v>
      </c>
      <c r="P33" s="189">
        <f t="shared" si="12"/>
        <v>0</v>
      </c>
      <c r="Q33" s="170">
        <f t="shared" si="13"/>
        <v>0</v>
      </c>
      <c r="R33" s="170">
        <f t="shared" si="14"/>
        <v>0</v>
      </c>
      <c r="S33" s="170">
        <f t="shared" si="15"/>
        <v>0.91</v>
      </c>
      <c r="T33" s="170">
        <f t="shared" si="16"/>
        <v>0</v>
      </c>
      <c r="U33" s="171">
        <f t="shared" si="17"/>
        <v>0</v>
      </c>
      <c r="V33" s="203">
        <f t="shared" si="11"/>
        <v>-8.9999999999999969E-2</v>
      </c>
      <c r="W33" s="204">
        <f t="shared" si="8"/>
        <v>-8.9999999999999969E-2</v>
      </c>
      <c r="X33" s="208" t="str">
        <f t="shared" si="9"/>
        <v/>
      </c>
      <c r="AE33" s="149" t="s">
        <v>39</v>
      </c>
      <c r="AF33" s="62">
        <v>0.75</v>
      </c>
      <c r="AG33" s="62">
        <v>0.88</v>
      </c>
      <c r="AH33" s="63">
        <v>1</v>
      </c>
      <c r="AI33" s="62">
        <v>1.1499999999999999</v>
      </c>
      <c r="AJ33" s="62">
        <v>1.4</v>
      </c>
      <c r="AK33" s="62">
        <v>1.4</v>
      </c>
      <c r="AL33" s="115" t="s">
        <v>321</v>
      </c>
      <c r="AN33" s="183" t="s">
        <v>319</v>
      </c>
    </row>
    <row r="34" spans="4:40" ht="14.25">
      <c r="D34">
        <v>54</v>
      </c>
      <c r="E34" s="272" t="s">
        <v>159</v>
      </c>
      <c r="F34" s="273"/>
      <c r="G34" s="273"/>
      <c r="H34" s="274"/>
      <c r="I34" s="164">
        <v>0.94</v>
      </c>
      <c r="J34" s="164">
        <v>0.94</v>
      </c>
      <c r="K34" s="166">
        <v>1</v>
      </c>
      <c r="L34" s="164">
        <v>1.08</v>
      </c>
      <c r="M34" s="164">
        <v>1.1599999999999999</v>
      </c>
      <c r="N34" s="178">
        <v>1.1599999999999999</v>
      </c>
      <c r="O34" s="183" t="s">
        <v>320</v>
      </c>
      <c r="P34" s="189">
        <f t="shared" si="12"/>
        <v>0</v>
      </c>
      <c r="Q34" s="170">
        <f t="shared" si="13"/>
        <v>0</v>
      </c>
      <c r="R34" s="170">
        <f t="shared" si="14"/>
        <v>0</v>
      </c>
      <c r="S34" s="170">
        <f t="shared" si="15"/>
        <v>1.08</v>
      </c>
      <c r="T34" s="170">
        <f t="shared" si="16"/>
        <v>0</v>
      </c>
      <c r="U34" s="171">
        <f t="shared" si="17"/>
        <v>0</v>
      </c>
      <c r="V34" s="203">
        <f t="shared" si="11"/>
        <v>8.0000000000000071E-2</v>
      </c>
      <c r="W34" s="204">
        <f t="shared" si="8"/>
        <v>0</v>
      </c>
      <c r="X34" s="208" t="str">
        <f t="shared" si="9"/>
        <v/>
      </c>
      <c r="AE34" s="149" t="s">
        <v>41</v>
      </c>
      <c r="AF34" s="62">
        <v>0.94</v>
      </c>
      <c r="AG34" s="62">
        <v>0.94</v>
      </c>
      <c r="AH34" s="63">
        <v>1</v>
      </c>
      <c r="AI34" s="62">
        <v>1.08</v>
      </c>
      <c r="AJ34" s="62">
        <v>1.1599999999999999</v>
      </c>
      <c r="AK34" s="62">
        <v>1.1599999999999999</v>
      </c>
      <c r="AL34" s="115" t="s">
        <v>321</v>
      </c>
      <c r="AN34" s="183" t="s">
        <v>319</v>
      </c>
    </row>
    <row r="35" spans="4:40" ht="15.75" thickBot="1">
      <c r="E35" s="287" t="s">
        <v>284</v>
      </c>
      <c r="F35" s="288"/>
      <c r="G35" s="288"/>
      <c r="H35" s="289"/>
      <c r="I35" s="160"/>
      <c r="J35" s="160"/>
      <c r="K35" s="162"/>
      <c r="L35" s="160"/>
      <c r="M35" s="160"/>
      <c r="N35" s="177"/>
      <c r="O35" s="184"/>
      <c r="P35" s="190"/>
      <c r="Q35" s="172"/>
      <c r="R35" s="172"/>
      <c r="S35" s="172"/>
      <c r="T35" s="172"/>
      <c r="U35" s="173"/>
      <c r="V35" s="205"/>
      <c r="W35" s="205"/>
      <c r="X35" s="209"/>
      <c r="AE35" s="150" t="s">
        <v>43</v>
      </c>
      <c r="AF35" s="66">
        <v>0.7</v>
      </c>
      <c r="AG35" s="66">
        <v>0.85</v>
      </c>
      <c r="AH35" s="67">
        <v>1</v>
      </c>
      <c r="AI35" s="66">
        <v>1.1499999999999999</v>
      </c>
      <c r="AJ35" s="66">
        <v>1.3</v>
      </c>
      <c r="AK35" s="66">
        <v>1.65</v>
      </c>
      <c r="AL35" s="115" t="s">
        <v>321</v>
      </c>
      <c r="AN35" s="183" t="s">
        <v>319</v>
      </c>
    </row>
    <row r="36" spans="4:40" ht="14.25">
      <c r="D36">
        <v>61</v>
      </c>
      <c r="E36" s="272" t="s">
        <v>129</v>
      </c>
      <c r="F36" s="273"/>
      <c r="G36" s="273"/>
      <c r="H36" s="274"/>
      <c r="I36" s="164">
        <v>1.29</v>
      </c>
      <c r="J36" s="164">
        <v>1.1299999999999999</v>
      </c>
      <c r="K36" s="166">
        <v>1</v>
      </c>
      <c r="L36" s="164">
        <v>0.91</v>
      </c>
      <c r="M36" s="164">
        <v>0.82</v>
      </c>
      <c r="N36" s="178">
        <v>0.82</v>
      </c>
      <c r="O36" s="183" t="s">
        <v>319</v>
      </c>
      <c r="P36" s="189">
        <f t="shared" ref="P36:P47" si="18">IF($O36=I$4,I36, 0)</f>
        <v>0</v>
      </c>
      <c r="Q36" s="170">
        <f t="shared" ref="Q36:Q47" si="19">IF($O36=J$4,J36, 0)</f>
        <v>1.1299999999999999</v>
      </c>
      <c r="R36" s="170">
        <f t="shared" ref="R36:R47" si="20">IF($O36=K$4,K36, 0)</f>
        <v>0</v>
      </c>
      <c r="S36" s="170">
        <f t="shared" ref="S36:S47" si="21">IF($O36=L$4,L36, 0)</f>
        <v>0</v>
      </c>
      <c r="T36" s="170">
        <f t="shared" ref="T36:T47" si="22">IF($O36=M$4,M36, 0)</f>
        <v>0</v>
      </c>
      <c r="U36" s="171">
        <f t="shared" ref="U36:U47" si="23">IF($O36=N$4,N36, 0)</f>
        <v>0</v>
      </c>
      <c r="V36" s="203">
        <f t="shared" si="11"/>
        <v>0.12999999999999989</v>
      </c>
      <c r="W36" s="204">
        <f t="shared" si="8"/>
        <v>0</v>
      </c>
      <c r="X36" s="208" t="str">
        <f t="shared" si="9"/>
        <v>OP</v>
      </c>
      <c r="AE36" s="151" t="s">
        <v>46</v>
      </c>
      <c r="AF36" s="62">
        <v>1</v>
      </c>
      <c r="AG36" s="62">
        <v>1</v>
      </c>
      <c r="AH36" s="63">
        <v>1</v>
      </c>
      <c r="AI36" s="62">
        <v>1.1100000000000001</v>
      </c>
      <c r="AJ36" s="62">
        <v>1.3</v>
      </c>
      <c r="AK36" s="62">
        <v>1.66</v>
      </c>
      <c r="AL36" s="155" t="s">
        <v>321</v>
      </c>
      <c r="AN36" s="184"/>
    </row>
    <row r="37" spans="4:40" ht="14.25">
      <c r="D37">
        <v>62</v>
      </c>
      <c r="E37" s="272" t="s">
        <v>140</v>
      </c>
      <c r="F37" s="273"/>
      <c r="G37" s="273"/>
      <c r="H37" s="274"/>
      <c r="I37" s="164">
        <v>1.29</v>
      </c>
      <c r="J37" s="164">
        <v>1.1299999999999999</v>
      </c>
      <c r="K37" s="166">
        <v>1</v>
      </c>
      <c r="L37" s="164">
        <v>0.91</v>
      </c>
      <c r="M37" s="164">
        <v>0.82</v>
      </c>
      <c r="N37" s="178">
        <v>0.82</v>
      </c>
      <c r="O37" s="183" t="s">
        <v>319</v>
      </c>
      <c r="P37" s="189">
        <f t="shared" si="18"/>
        <v>0</v>
      </c>
      <c r="Q37" s="170">
        <f t="shared" si="19"/>
        <v>1.1299999999999999</v>
      </c>
      <c r="R37" s="170">
        <f t="shared" si="20"/>
        <v>0</v>
      </c>
      <c r="S37" s="170">
        <f t="shared" si="21"/>
        <v>0</v>
      </c>
      <c r="T37" s="170">
        <f t="shared" si="22"/>
        <v>0</v>
      </c>
      <c r="U37" s="171">
        <f t="shared" si="23"/>
        <v>0</v>
      </c>
      <c r="V37" s="203">
        <f t="shared" si="11"/>
        <v>0.12999999999999989</v>
      </c>
      <c r="W37" s="204">
        <f t="shared" si="8"/>
        <v>0</v>
      </c>
      <c r="X37" s="208" t="str">
        <f t="shared" si="9"/>
        <v>OP</v>
      </c>
      <c r="AE37" s="1" t="s">
        <v>48</v>
      </c>
      <c r="AF37" s="62">
        <v>1</v>
      </c>
      <c r="AG37" s="62">
        <v>1</v>
      </c>
      <c r="AH37" s="63">
        <v>1</v>
      </c>
      <c r="AI37" s="62">
        <v>1.06</v>
      </c>
      <c r="AJ37" s="62">
        <v>1.21</v>
      </c>
      <c r="AK37" s="62">
        <v>1.56</v>
      </c>
      <c r="AN37" s="183" t="s">
        <v>322</v>
      </c>
    </row>
    <row r="38" spans="4:40" ht="14.25">
      <c r="D38">
        <v>63</v>
      </c>
      <c r="E38" s="272" t="s">
        <v>314</v>
      </c>
      <c r="F38" s="273"/>
      <c r="G38" s="273"/>
      <c r="H38" s="274"/>
      <c r="I38" s="164">
        <v>0.94</v>
      </c>
      <c r="J38" s="164">
        <v>0.94</v>
      </c>
      <c r="K38" s="166">
        <v>1</v>
      </c>
      <c r="L38" s="164">
        <v>1.08</v>
      </c>
      <c r="M38" s="164">
        <v>1.1599999999999999</v>
      </c>
      <c r="N38" s="178">
        <v>1.1599999999999999</v>
      </c>
      <c r="O38" s="183" t="s">
        <v>319</v>
      </c>
      <c r="P38" s="189">
        <f t="shared" si="18"/>
        <v>0</v>
      </c>
      <c r="Q38" s="170">
        <f t="shared" si="19"/>
        <v>0.94</v>
      </c>
      <c r="R38" s="170">
        <f t="shared" si="20"/>
        <v>0</v>
      </c>
      <c r="S38" s="170">
        <f t="shared" si="21"/>
        <v>0</v>
      </c>
      <c r="T38" s="170">
        <f t="shared" si="22"/>
        <v>0</v>
      </c>
      <c r="U38" s="171">
        <f t="shared" si="23"/>
        <v>0</v>
      </c>
      <c r="V38" s="203">
        <f t="shared" si="11"/>
        <v>-6.0000000000000053E-2</v>
      </c>
      <c r="W38" s="204">
        <f t="shared" si="8"/>
        <v>-6.0000000000000053E-2</v>
      </c>
      <c r="X38" s="208" t="str">
        <f t="shared" si="9"/>
        <v/>
      </c>
      <c r="AE38" s="145" t="s">
        <v>50</v>
      </c>
      <c r="AF38" s="62">
        <v>0.87</v>
      </c>
      <c r="AG38" s="62">
        <v>0.87</v>
      </c>
      <c r="AH38" s="63">
        <v>1</v>
      </c>
      <c r="AI38" s="62">
        <v>1.1499999999999999</v>
      </c>
      <c r="AJ38" s="62">
        <v>1.3</v>
      </c>
      <c r="AK38" s="62">
        <v>1.3</v>
      </c>
      <c r="AN38" s="183" t="s">
        <v>319</v>
      </c>
    </row>
    <row r="39" spans="4:40" ht="15" thickBot="1">
      <c r="D39">
        <v>64</v>
      </c>
      <c r="E39" s="272" t="s">
        <v>315</v>
      </c>
      <c r="F39" s="273"/>
      <c r="G39" s="273"/>
      <c r="H39" s="274"/>
      <c r="I39" s="165">
        <v>0.7</v>
      </c>
      <c r="J39" s="165">
        <v>0.85</v>
      </c>
      <c r="K39" s="167">
        <v>1</v>
      </c>
      <c r="L39" s="165">
        <v>1.1499999999999999</v>
      </c>
      <c r="M39" s="165">
        <v>1.3</v>
      </c>
      <c r="N39" s="180">
        <v>1.65</v>
      </c>
      <c r="O39" s="183" t="s">
        <v>322</v>
      </c>
      <c r="P39" s="189">
        <f t="shared" si="18"/>
        <v>0</v>
      </c>
      <c r="Q39" s="170">
        <f t="shared" si="19"/>
        <v>0</v>
      </c>
      <c r="R39" s="170">
        <f t="shared" si="20"/>
        <v>1</v>
      </c>
      <c r="S39" s="170">
        <f t="shared" si="21"/>
        <v>0</v>
      </c>
      <c r="T39" s="170">
        <f t="shared" si="22"/>
        <v>0</v>
      </c>
      <c r="U39" s="171">
        <f t="shared" si="23"/>
        <v>0</v>
      </c>
      <c r="V39" s="203">
        <f t="shared" si="11"/>
        <v>0</v>
      </c>
      <c r="W39" s="204">
        <f t="shared" si="8"/>
        <v>0</v>
      </c>
      <c r="X39" s="208" t="str">
        <f t="shared" si="9"/>
        <v/>
      </c>
      <c r="AE39" s="147" t="s">
        <v>52</v>
      </c>
      <c r="AF39" s="66">
        <v>0.87</v>
      </c>
      <c r="AG39" s="66">
        <v>0.87</v>
      </c>
      <c r="AH39" s="67">
        <v>1</v>
      </c>
      <c r="AI39" s="66">
        <v>1.07</v>
      </c>
      <c r="AJ39" s="66">
        <v>1.1499999999999999</v>
      </c>
      <c r="AK39" s="66">
        <v>1.1499999999999999</v>
      </c>
      <c r="AN39" s="183" t="s">
        <v>322</v>
      </c>
    </row>
    <row r="40" spans="4:40" ht="14.25">
      <c r="D40">
        <v>65</v>
      </c>
      <c r="E40" s="269" t="s">
        <v>339</v>
      </c>
      <c r="F40" s="270"/>
      <c r="G40" s="270"/>
      <c r="H40" s="271"/>
      <c r="I40" s="164">
        <v>0.94</v>
      </c>
      <c r="J40" s="164">
        <v>1</v>
      </c>
      <c r="K40" s="166">
        <v>1</v>
      </c>
      <c r="L40" s="164">
        <v>1.08</v>
      </c>
      <c r="M40" s="164">
        <v>1.1599999999999999</v>
      </c>
      <c r="N40" s="178">
        <v>1.1599999999999999</v>
      </c>
      <c r="O40" s="183" t="s">
        <v>319</v>
      </c>
      <c r="P40" s="189">
        <f t="shared" si="18"/>
        <v>0</v>
      </c>
      <c r="Q40" s="170">
        <f t="shared" si="19"/>
        <v>1</v>
      </c>
      <c r="R40" s="170">
        <f t="shared" si="20"/>
        <v>0</v>
      </c>
      <c r="S40" s="170">
        <f t="shared" si="21"/>
        <v>0</v>
      </c>
      <c r="T40" s="170">
        <f t="shared" si="22"/>
        <v>0</v>
      </c>
      <c r="U40" s="171">
        <f t="shared" si="23"/>
        <v>0</v>
      </c>
      <c r="V40" s="203">
        <f t="shared" si="11"/>
        <v>0</v>
      </c>
      <c r="W40" s="204">
        <f t="shared" si="8"/>
        <v>0</v>
      </c>
      <c r="X40" s="208" t="str">
        <f t="shared" si="9"/>
        <v/>
      </c>
      <c r="AE40" s="151" t="s">
        <v>55</v>
      </c>
      <c r="AF40" s="62">
        <v>1.46</v>
      </c>
      <c r="AG40" s="62">
        <v>1.19</v>
      </c>
      <c r="AH40" s="63">
        <v>1</v>
      </c>
      <c r="AI40" s="62">
        <v>0.86</v>
      </c>
      <c r="AJ40" s="62">
        <v>0.71</v>
      </c>
      <c r="AK40" s="62">
        <v>0.71</v>
      </c>
      <c r="AN40" s="183" t="s">
        <v>322</v>
      </c>
    </row>
    <row r="41" spans="4:40" ht="14.25">
      <c r="D41">
        <v>66</v>
      </c>
      <c r="E41" s="275" t="s">
        <v>297</v>
      </c>
      <c r="F41" s="276"/>
      <c r="G41" s="276"/>
      <c r="H41" s="277"/>
      <c r="I41" s="164">
        <v>1</v>
      </c>
      <c r="J41" s="164">
        <v>1</v>
      </c>
      <c r="K41" s="166">
        <v>1</v>
      </c>
      <c r="L41" s="164">
        <v>1.1100000000000001</v>
      </c>
      <c r="M41" s="164">
        <v>1.3</v>
      </c>
      <c r="N41" s="178">
        <v>1.66</v>
      </c>
      <c r="O41" s="183" t="s">
        <v>321</v>
      </c>
      <c r="P41" s="189">
        <f t="shared" si="18"/>
        <v>0</v>
      </c>
      <c r="Q41" s="170">
        <f t="shared" si="19"/>
        <v>0</v>
      </c>
      <c r="R41" s="170">
        <f t="shared" si="20"/>
        <v>0</v>
      </c>
      <c r="S41" s="170">
        <f t="shared" si="21"/>
        <v>0</v>
      </c>
      <c r="T41" s="170">
        <f t="shared" si="22"/>
        <v>1.3</v>
      </c>
      <c r="U41" s="171">
        <f t="shared" si="23"/>
        <v>0</v>
      </c>
      <c r="V41" s="203">
        <f t="shared" si="11"/>
        <v>0.30000000000000004</v>
      </c>
      <c r="W41" s="204">
        <f t="shared" si="8"/>
        <v>0.30000000000000004</v>
      </c>
      <c r="X41" s="208" t="str">
        <f t="shared" si="9"/>
        <v>SI</v>
      </c>
      <c r="AE41" s="151" t="s">
        <v>57</v>
      </c>
      <c r="AF41" s="62">
        <v>1.29</v>
      </c>
      <c r="AG41" s="62">
        <v>1.1299999999999999</v>
      </c>
      <c r="AH41" s="63">
        <v>1</v>
      </c>
      <c r="AI41" s="62">
        <v>0.91</v>
      </c>
      <c r="AJ41" s="62">
        <v>0.82</v>
      </c>
      <c r="AK41" s="62">
        <v>0.82</v>
      </c>
      <c r="AN41" s="183" t="s">
        <v>322</v>
      </c>
    </row>
    <row r="42" spans="4:40" ht="14.25">
      <c r="D42">
        <v>67</v>
      </c>
      <c r="E42" s="269" t="s">
        <v>337</v>
      </c>
      <c r="F42" s="270"/>
      <c r="G42" s="270"/>
      <c r="H42" s="271"/>
      <c r="I42" s="164">
        <v>1.4</v>
      </c>
      <c r="J42" s="164">
        <v>1.1299999999999999</v>
      </c>
      <c r="K42" s="166">
        <v>1</v>
      </c>
      <c r="L42" s="164">
        <v>0.95</v>
      </c>
      <c r="M42" s="164">
        <v>0.91</v>
      </c>
      <c r="N42" s="178">
        <v>0.82</v>
      </c>
      <c r="O42" s="183" t="s">
        <v>322</v>
      </c>
      <c r="P42" s="189">
        <f t="shared" si="18"/>
        <v>0</v>
      </c>
      <c r="Q42" s="170">
        <f t="shared" si="19"/>
        <v>0</v>
      </c>
      <c r="R42" s="170">
        <f t="shared" si="20"/>
        <v>1</v>
      </c>
      <c r="S42" s="170">
        <f t="shared" si="21"/>
        <v>0</v>
      </c>
      <c r="T42" s="170">
        <f t="shared" si="22"/>
        <v>0</v>
      </c>
      <c r="U42" s="171">
        <f t="shared" si="23"/>
        <v>0</v>
      </c>
      <c r="V42" s="203">
        <f t="shared" si="11"/>
        <v>0</v>
      </c>
      <c r="W42" s="204">
        <f t="shared" si="8"/>
        <v>0</v>
      </c>
      <c r="X42" s="208" t="str">
        <f t="shared" si="9"/>
        <v/>
      </c>
      <c r="AE42" s="151" t="s">
        <v>59</v>
      </c>
      <c r="AF42" s="62">
        <v>1.42</v>
      </c>
      <c r="AG42" s="62">
        <v>1.17</v>
      </c>
      <c r="AH42" s="63">
        <v>1</v>
      </c>
      <c r="AI42" s="62">
        <v>0.86</v>
      </c>
      <c r="AJ42" s="62">
        <v>0.7</v>
      </c>
      <c r="AK42" s="62">
        <v>0.7</v>
      </c>
      <c r="AN42" s="183" t="s">
        <v>319</v>
      </c>
    </row>
    <row r="43" spans="4:40" ht="14.25">
      <c r="D43">
        <v>68</v>
      </c>
      <c r="E43" s="269" t="s">
        <v>336</v>
      </c>
      <c r="F43" s="270"/>
      <c r="G43" s="270"/>
      <c r="H43" s="271"/>
      <c r="I43" s="164">
        <v>1</v>
      </c>
      <c r="J43" s="164">
        <v>1</v>
      </c>
      <c r="K43" s="166">
        <v>1</v>
      </c>
      <c r="L43" s="164">
        <v>1.1100000000000001</v>
      </c>
      <c r="M43" s="164">
        <v>1.3</v>
      </c>
      <c r="N43" s="178">
        <v>1.66</v>
      </c>
      <c r="O43" s="183" t="s">
        <v>322</v>
      </c>
      <c r="P43" s="189">
        <f t="shared" si="18"/>
        <v>0</v>
      </c>
      <c r="Q43" s="170">
        <f t="shared" si="19"/>
        <v>0</v>
      </c>
      <c r="R43" s="170">
        <f t="shared" si="20"/>
        <v>1</v>
      </c>
      <c r="S43" s="170">
        <f t="shared" si="21"/>
        <v>0</v>
      </c>
      <c r="T43" s="170">
        <f t="shared" si="22"/>
        <v>0</v>
      </c>
      <c r="U43" s="171">
        <f t="shared" si="23"/>
        <v>0</v>
      </c>
      <c r="V43" s="203">
        <f t="shared" si="11"/>
        <v>0</v>
      </c>
      <c r="W43" s="204">
        <f t="shared" si="8"/>
        <v>0</v>
      </c>
      <c r="X43" s="208" t="str">
        <f t="shared" si="9"/>
        <v/>
      </c>
      <c r="AE43" s="145" t="s">
        <v>61</v>
      </c>
      <c r="AF43" s="62">
        <v>1.21</v>
      </c>
      <c r="AG43" s="62">
        <v>1.1000000000000001</v>
      </c>
      <c r="AH43" s="63">
        <v>1</v>
      </c>
      <c r="AI43" s="62">
        <v>0.9</v>
      </c>
      <c r="AJ43" s="62">
        <v>0.9</v>
      </c>
      <c r="AK43" s="62">
        <v>0.9</v>
      </c>
      <c r="AN43" s="183" t="s">
        <v>319</v>
      </c>
    </row>
    <row r="44" spans="4:40" ht="15" thickBot="1">
      <c r="D44">
        <v>69</v>
      </c>
      <c r="E44" s="275" t="s">
        <v>300</v>
      </c>
      <c r="F44" s="276"/>
      <c r="G44" s="276"/>
      <c r="H44" s="277"/>
      <c r="I44" s="165">
        <v>1.23</v>
      </c>
      <c r="J44" s="165">
        <v>1.08</v>
      </c>
      <c r="K44" s="167">
        <v>1</v>
      </c>
      <c r="L44" s="165">
        <v>1.04</v>
      </c>
      <c r="M44" s="165">
        <v>1.1000000000000001</v>
      </c>
      <c r="N44" s="180">
        <v>1.1000000000000001</v>
      </c>
      <c r="O44" s="183" t="s">
        <v>319</v>
      </c>
      <c r="P44" s="189">
        <f t="shared" si="18"/>
        <v>0</v>
      </c>
      <c r="Q44" s="170">
        <f t="shared" si="19"/>
        <v>1.08</v>
      </c>
      <c r="R44" s="170">
        <f t="shared" si="20"/>
        <v>0</v>
      </c>
      <c r="S44" s="170">
        <f t="shared" si="21"/>
        <v>0</v>
      </c>
      <c r="T44" s="170">
        <f t="shared" si="22"/>
        <v>0</v>
      </c>
      <c r="U44" s="171">
        <f t="shared" si="23"/>
        <v>0</v>
      </c>
      <c r="V44" s="203">
        <f t="shared" si="11"/>
        <v>8.0000000000000071E-2</v>
      </c>
      <c r="W44" s="204">
        <f t="shared" si="8"/>
        <v>0</v>
      </c>
      <c r="X44" s="208" t="str">
        <f t="shared" si="9"/>
        <v/>
      </c>
      <c r="AE44" s="150" t="s">
        <v>63</v>
      </c>
      <c r="AF44" s="66">
        <v>1.1399999999999999</v>
      </c>
      <c r="AG44" s="66">
        <v>1.07</v>
      </c>
      <c r="AH44" s="67">
        <v>1</v>
      </c>
      <c r="AI44" s="66">
        <v>0.95</v>
      </c>
      <c r="AJ44" s="66">
        <v>0.95</v>
      </c>
      <c r="AK44" s="66">
        <v>0.95</v>
      </c>
      <c r="AN44" s="183" t="s">
        <v>322</v>
      </c>
    </row>
    <row r="45" spans="4:40" ht="14.25">
      <c r="D45">
        <v>70</v>
      </c>
      <c r="E45" s="278" t="s">
        <v>304</v>
      </c>
      <c r="F45" s="279"/>
      <c r="G45" s="279"/>
      <c r="H45" s="280"/>
      <c r="I45" s="164">
        <v>1</v>
      </c>
      <c r="J45" s="164">
        <v>1</v>
      </c>
      <c r="K45" s="166">
        <v>1</v>
      </c>
      <c r="L45" s="164">
        <v>1.1100000000000001</v>
      </c>
      <c r="M45" s="164">
        <v>1.3</v>
      </c>
      <c r="N45" s="178">
        <v>1.66</v>
      </c>
      <c r="O45" s="183" t="s">
        <v>318</v>
      </c>
      <c r="P45" s="189">
        <f t="shared" si="18"/>
        <v>1</v>
      </c>
      <c r="Q45" s="170">
        <f t="shared" si="19"/>
        <v>0</v>
      </c>
      <c r="R45" s="170">
        <f t="shared" si="20"/>
        <v>0</v>
      </c>
      <c r="S45" s="170">
        <f t="shared" si="21"/>
        <v>0</v>
      </c>
      <c r="T45" s="170">
        <f t="shared" si="22"/>
        <v>0</v>
      </c>
      <c r="U45" s="171">
        <f t="shared" si="23"/>
        <v>0</v>
      </c>
      <c r="V45" s="203">
        <f t="shared" si="11"/>
        <v>0</v>
      </c>
      <c r="W45" s="204">
        <f t="shared" si="8"/>
        <v>0</v>
      </c>
      <c r="X45" s="208" t="str">
        <f t="shared" si="9"/>
        <v/>
      </c>
      <c r="AE45" s="151" t="s">
        <v>66</v>
      </c>
      <c r="AF45" s="62">
        <v>1.24</v>
      </c>
      <c r="AG45" s="62">
        <v>1.1000000000000001</v>
      </c>
      <c r="AH45" s="63">
        <v>1</v>
      </c>
      <c r="AI45" s="62">
        <v>0.91</v>
      </c>
      <c r="AJ45" s="62">
        <v>0.82</v>
      </c>
      <c r="AK45" s="62">
        <v>0.82</v>
      </c>
      <c r="AN45" s="183" t="s">
        <v>320</v>
      </c>
    </row>
    <row r="46" spans="4:40" ht="14.25">
      <c r="D46">
        <v>71</v>
      </c>
      <c r="E46" s="278" t="s">
        <v>305</v>
      </c>
      <c r="F46" s="279"/>
      <c r="G46" s="279"/>
      <c r="H46" s="280"/>
      <c r="I46" s="164">
        <v>1</v>
      </c>
      <c r="J46" s="164">
        <v>1</v>
      </c>
      <c r="K46" s="166">
        <v>1</v>
      </c>
      <c r="L46" s="164">
        <v>1.1100000000000001</v>
      </c>
      <c r="M46" s="164">
        <v>1.3</v>
      </c>
      <c r="N46" s="178">
        <v>1.66</v>
      </c>
      <c r="O46" s="183" t="s">
        <v>318</v>
      </c>
      <c r="P46" s="189">
        <f t="shared" si="18"/>
        <v>1</v>
      </c>
      <c r="Q46" s="170">
        <f t="shared" si="19"/>
        <v>0</v>
      </c>
      <c r="R46" s="170">
        <f t="shared" si="20"/>
        <v>0</v>
      </c>
      <c r="S46" s="170">
        <f t="shared" si="21"/>
        <v>0</v>
      </c>
      <c r="T46" s="170">
        <f t="shared" si="22"/>
        <v>0</v>
      </c>
      <c r="U46" s="171">
        <f t="shared" si="23"/>
        <v>0</v>
      </c>
      <c r="V46" s="203">
        <f t="shared" si="11"/>
        <v>0</v>
      </c>
      <c r="W46" s="204">
        <f t="shared" si="8"/>
        <v>0</v>
      </c>
      <c r="X46" s="208" t="str">
        <f t="shared" si="9"/>
        <v/>
      </c>
      <c r="AE46" s="151" t="s">
        <v>68</v>
      </c>
      <c r="AF46" s="62">
        <v>1.24</v>
      </c>
      <c r="AG46" s="62">
        <v>1.1000000000000001</v>
      </c>
      <c r="AH46" s="63">
        <v>1</v>
      </c>
      <c r="AI46" s="62">
        <v>0.91</v>
      </c>
      <c r="AJ46" s="62">
        <v>0.83</v>
      </c>
      <c r="AK46" s="62">
        <v>0.83</v>
      </c>
      <c r="AN46" s="183" t="s">
        <v>320</v>
      </c>
    </row>
    <row r="47" spans="4:40" ht="15" thickBot="1">
      <c r="D47">
        <v>72</v>
      </c>
      <c r="E47" s="281" t="s">
        <v>307</v>
      </c>
      <c r="F47" s="282"/>
      <c r="G47" s="282"/>
      <c r="H47" s="283"/>
      <c r="I47" s="165">
        <v>1</v>
      </c>
      <c r="J47" s="165">
        <v>1</v>
      </c>
      <c r="K47" s="167">
        <v>1</v>
      </c>
      <c r="L47" s="165">
        <v>1.1100000000000001</v>
      </c>
      <c r="M47" s="165">
        <v>1.3</v>
      </c>
      <c r="N47" s="180">
        <v>1.66</v>
      </c>
      <c r="O47" s="183" t="s">
        <v>319</v>
      </c>
      <c r="P47" s="191">
        <f t="shared" si="18"/>
        <v>0</v>
      </c>
      <c r="Q47" s="192">
        <f t="shared" si="19"/>
        <v>1</v>
      </c>
      <c r="R47" s="192">
        <f t="shared" si="20"/>
        <v>0</v>
      </c>
      <c r="S47" s="192">
        <f t="shared" si="21"/>
        <v>0</v>
      </c>
      <c r="T47" s="192">
        <f t="shared" si="22"/>
        <v>0</v>
      </c>
      <c r="U47" s="193">
        <f t="shared" si="23"/>
        <v>0</v>
      </c>
      <c r="V47" s="203">
        <f t="shared" si="11"/>
        <v>0</v>
      </c>
      <c r="W47" s="204">
        <f t="shared" si="8"/>
        <v>0</v>
      </c>
      <c r="X47" s="208" t="str">
        <f t="shared" si="9"/>
        <v/>
      </c>
      <c r="AE47" s="152" t="s">
        <v>70</v>
      </c>
      <c r="AF47" s="66">
        <v>1.23</v>
      </c>
      <c r="AG47" s="66">
        <v>1.08</v>
      </c>
      <c r="AH47" s="67">
        <v>1</v>
      </c>
      <c r="AI47" s="66">
        <v>1.04</v>
      </c>
      <c r="AJ47" s="66">
        <v>1.1000000000000001</v>
      </c>
      <c r="AK47" s="66">
        <v>1.1000000000000001</v>
      </c>
      <c r="AN47" s="183" t="s">
        <v>322</v>
      </c>
    </row>
    <row r="48" spans="4:40" ht="15" thickBot="1">
      <c r="E48" s="154"/>
      <c r="F48" s="154"/>
      <c r="G48" s="154"/>
      <c r="H48" s="154"/>
      <c r="U48" s="200" t="s">
        <v>344</v>
      </c>
      <c r="V48" s="201">
        <f>LARGE(V5:V47,10)</f>
        <v>0.12999999999999989</v>
      </c>
      <c r="W48" s="202"/>
      <c r="AN48" s="185" t="s">
        <v>320</v>
      </c>
    </row>
    <row r="49" spans="5:31" ht="14.25">
      <c r="E49" s="154"/>
      <c r="F49" s="154"/>
      <c r="G49" s="154"/>
      <c r="H49" s="154"/>
      <c r="U49" s="200" t="s">
        <v>345</v>
      </c>
      <c r="V49" s="202">
        <f>MEDIAN(V5:V47)</f>
        <v>0</v>
      </c>
      <c r="W49" s="202">
        <f>MEDIAN(W5:W47)</f>
        <v>0</v>
      </c>
    </row>
    <row r="50" spans="5:31" ht="14.25">
      <c r="E50" s="154"/>
      <c r="F50" s="154"/>
      <c r="G50" s="154"/>
      <c r="H50" s="154"/>
      <c r="U50" s="200" t="s">
        <v>346</v>
      </c>
      <c r="V50" s="202">
        <f>AVERAGE(V6:V47)</f>
        <v>4.205128205128205E-2</v>
      </c>
      <c r="W50" s="202">
        <f>AVERAGE(W6:W47)</f>
        <v>1.0256410256410251E-2</v>
      </c>
    </row>
    <row r="52" spans="5:31">
      <c r="AE52" s="159" t="s">
        <v>326</v>
      </c>
    </row>
    <row r="54" spans="5:31">
      <c r="AE54" s="159" t="s">
        <v>327</v>
      </c>
    </row>
    <row r="56" spans="5:31">
      <c r="AE56" s="159" t="s">
        <v>328</v>
      </c>
    </row>
    <row r="58" spans="5:31">
      <c r="AE58" s="159" t="s">
        <v>329</v>
      </c>
    </row>
    <row r="60" spans="5:31">
      <c r="AE60" s="159" t="s">
        <v>330</v>
      </c>
    </row>
    <row r="62" spans="5:31">
      <c r="AE62" s="159" t="s">
        <v>331</v>
      </c>
    </row>
    <row r="64" spans="5:31">
      <c r="AE64" s="159" t="s">
        <v>332</v>
      </c>
    </row>
    <row r="66" spans="31:31">
      <c r="AE66" s="159" t="s">
        <v>333</v>
      </c>
    </row>
    <row r="68" spans="31:31">
      <c r="AE68" s="159" t="s">
        <v>334</v>
      </c>
    </row>
    <row r="70" spans="31:31">
      <c r="AE70" s="159" t="s">
        <v>335</v>
      </c>
    </row>
  </sheetData>
  <mergeCells count="46">
    <mergeCell ref="E27:H27"/>
    <mergeCell ref="E5:H5"/>
    <mergeCell ref="E15:H15"/>
    <mergeCell ref="E20:H20"/>
    <mergeCell ref="E35:H35"/>
    <mergeCell ref="E33:H33"/>
    <mergeCell ref="E6:H6"/>
    <mergeCell ref="E7:H7"/>
    <mergeCell ref="E8:H8"/>
    <mergeCell ref="E14:H14"/>
    <mergeCell ref="E16:H16"/>
    <mergeCell ref="E17:H17"/>
    <mergeCell ref="E12:H12"/>
    <mergeCell ref="E13:H13"/>
    <mergeCell ref="E25:H25"/>
    <mergeCell ref="E47:H47"/>
    <mergeCell ref="E9:H9"/>
    <mergeCell ref="E45:H45"/>
    <mergeCell ref="E46:H46"/>
    <mergeCell ref="E32:H32"/>
    <mergeCell ref="E22:H22"/>
    <mergeCell ref="E11:H11"/>
    <mergeCell ref="E24:H24"/>
    <mergeCell ref="E43:H43"/>
    <mergeCell ref="E44:H44"/>
    <mergeCell ref="E10:H10"/>
    <mergeCell ref="E18:H18"/>
    <mergeCell ref="E41:H41"/>
    <mergeCell ref="E42:H42"/>
    <mergeCell ref="E26:H26"/>
    <mergeCell ref="E4:H4"/>
    <mergeCell ref="AE15:AH15"/>
    <mergeCell ref="AE16:AH16"/>
    <mergeCell ref="E40:H40"/>
    <mergeCell ref="E34:H34"/>
    <mergeCell ref="E30:H30"/>
    <mergeCell ref="E31:H31"/>
    <mergeCell ref="E28:H28"/>
    <mergeCell ref="E29:H29"/>
    <mergeCell ref="E36:H36"/>
    <mergeCell ref="E37:H37"/>
    <mergeCell ref="E38:H38"/>
    <mergeCell ref="E39:H39"/>
    <mergeCell ref="E19:H19"/>
    <mergeCell ref="E21:H21"/>
    <mergeCell ref="E23:H23"/>
  </mergeCells>
  <conditionalFormatting sqref="I6:N47">
    <cfRule type="cellIs" dxfId="5" priority="6" operator="greaterThan">
      <formula>1.15</formula>
    </cfRule>
  </conditionalFormatting>
  <conditionalFormatting sqref="P6:X47">
    <cfRule type="cellIs" dxfId="4" priority="5" operator="equal">
      <formula>0</formula>
    </cfRule>
  </conditionalFormatting>
  <conditionalFormatting sqref="X6:X14">
    <cfRule type="cellIs" dxfId="3" priority="4" operator="equal">
      <formula>"SI"</formula>
    </cfRule>
  </conditionalFormatting>
  <conditionalFormatting sqref="X16:X19">
    <cfRule type="cellIs" dxfId="2" priority="3" operator="equal">
      <formula>"SI"</formula>
    </cfRule>
  </conditionalFormatting>
  <conditionalFormatting sqref="X21:X34">
    <cfRule type="cellIs" dxfId="1" priority="2" operator="equal">
      <formula>"SI"</formula>
    </cfRule>
  </conditionalFormatting>
  <conditionalFormatting sqref="X36:X47">
    <cfRule type="cellIs" dxfId="0" priority="1" operator="equal">
      <formula>"SI"</formula>
    </cfRule>
  </conditionalFormatting>
  <dataValidations count="1">
    <dataValidation type="list" allowBlank="1" showInputMessage="1" showErrorMessage="1" promptTitle="Calificacion o cantidad" sqref="AN7:AN9 O36:O47 O6:O14 O21:O34 O16:O19">
      <formula1>$I$4:$N$4</formula1>
    </dataValidation>
  </dataValidations>
  <pageMargins left="0.7" right="0.7" top="0.75" bottom="0.75" header="0.3" footer="0.3"/>
  <pageSetup paperSize="9" orientation="portrait" horizont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2"/>
  <dimension ref="B2:L215"/>
  <sheetViews>
    <sheetView topLeftCell="A167" workbookViewId="0">
      <selection activeCell="H112" sqref="H112:H191"/>
    </sheetView>
  </sheetViews>
  <sheetFormatPr defaultRowHeight="12.75"/>
  <cols>
    <col min="3" max="3" width="19.42578125" customWidth="1"/>
    <col min="4" max="4" width="48.85546875" bestFit="1" customWidth="1"/>
    <col min="5" max="5" width="10.42578125" bestFit="1" customWidth="1"/>
    <col min="6" max="6" width="28.140625" customWidth="1"/>
    <col min="7" max="7" width="16.28515625" bestFit="1" customWidth="1"/>
    <col min="8" max="8" width="10.5703125" customWidth="1"/>
    <col min="9" max="9" width="9.85546875" bestFit="1" customWidth="1"/>
    <col min="10" max="12" width="4.5703125" bestFit="1" customWidth="1"/>
  </cols>
  <sheetData>
    <row r="2" spans="3:12" ht="18">
      <c r="C2" s="58" t="s">
        <v>30</v>
      </c>
    </row>
    <row r="3" spans="3:12" ht="13.5" thickBot="1">
      <c r="C3" s="59"/>
      <c r="D3" s="59"/>
      <c r="E3" s="59"/>
      <c r="F3" s="59"/>
      <c r="G3" s="60" t="s">
        <v>31</v>
      </c>
      <c r="H3" s="60" t="s">
        <v>32</v>
      </c>
      <c r="I3" s="60" t="s">
        <v>33</v>
      </c>
      <c r="J3" s="60" t="s">
        <v>34</v>
      </c>
      <c r="K3" s="60" t="s">
        <v>35</v>
      </c>
      <c r="L3" s="60" t="s">
        <v>36</v>
      </c>
    </row>
    <row r="4" spans="3:12">
      <c r="C4" t="s">
        <v>37</v>
      </c>
      <c r="D4" s="1">
        <v>1</v>
      </c>
      <c r="E4" s="61" t="s">
        <v>38</v>
      </c>
      <c r="F4" s="143" t="s">
        <v>39</v>
      </c>
      <c r="G4" s="62">
        <v>0.75</v>
      </c>
      <c r="H4" s="62">
        <v>0.88</v>
      </c>
      <c r="I4" s="63">
        <v>1</v>
      </c>
      <c r="J4" s="62">
        <v>1.1499999999999999</v>
      </c>
      <c r="K4" s="62">
        <v>1.4</v>
      </c>
      <c r="L4" s="62">
        <v>1.4</v>
      </c>
    </row>
    <row r="5" spans="3:12">
      <c r="D5" s="1">
        <v>2</v>
      </c>
      <c r="E5" s="61" t="s">
        <v>40</v>
      </c>
      <c r="F5" s="143" t="s">
        <v>41</v>
      </c>
      <c r="G5" s="62">
        <v>0.94</v>
      </c>
      <c r="H5" s="62">
        <v>0.94</v>
      </c>
      <c r="I5" s="63">
        <v>1</v>
      </c>
      <c r="J5" s="62">
        <v>1.08</v>
      </c>
      <c r="K5" s="62">
        <v>1.1599999999999999</v>
      </c>
      <c r="L5" s="62">
        <v>1.1599999999999999</v>
      </c>
    </row>
    <row r="6" spans="3:12" ht="13.5" thickBot="1">
      <c r="C6" s="59"/>
      <c r="D6" s="64">
        <v>3</v>
      </c>
      <c r="E6" s="65" t="s">
        <v>42</v>
      </c>
      <c r="F6" s="64" t="s">
        <v>43</v>
      </c>
      <c r="G6" s="66">
        <v>0.7</v>
      </c>
      <c r="H6" s="66">
        <v>0.85</v>
      </c>
      <c r="I6" s="67">
        <v>1</v>
      </c>
      <c r="J6" s="66">
        <v>1.1499999999999999</v>
      </c>
      <c r="K6" s="66">
        <v>1.3</v>
      </c>
      <c r="L6" s="66">
        <v>1.65</v>
      </c>
    </row>
    <row r="7" spans="3:12">
      <c r="C7" t="s">
        <v>44</v>
      </c>
      <c r="D7" s="1">
        <v>4</v>
      </c>
      <c r="E7" s="61" t="s">
        <v>45</v>
      </c>
      <c r="F7" s="1" t="s">
        <v>46</v>
      </c>
      <c r="G7" s="62">
        <v>1</v>
      </c>
      <c r="H7" s="62">
        <v>1</v>
      </c>
      <c r="I7" s="63">
        <v>1</v>
      </c>
      <c r="J7" s="62">
        <v>1.1100000000000001</v>
      </c>
      <c r="K7" s="62">
        <v>1.3</v>
      </c>
      <c r="L7" s="62">
        <v>1.66</v>
      </c>
    </row>
    <row r="8" spans="3:12">
      <c r="D8" s="1">
        <v>5</v>
      </c>
      <c r="E8" s="61" t="s">
        <v>47</v>
      </c>
      <c r="F8" s="1" t="s">
        <v>48</v>
      </c>
      <c r="G8" s="62">
        <v>1</v>
      </c>
      <c r="H8" s="62">
        <v>1</v>
      </c>
      <c r="I8" s="63">
        <v>1</v>
      </c>
      <c r="J8" s="62">
        <v>1.06</v>
      </c>
      <c r="K8" s="62">
        <v>1.21</v>
      </c>
      <c r="L8" s="62">
        <v>1.56</v>
      </c>
    </row>
    <row r="9" spans="3:12">
      <c r="D9" s="1">
        <v>6</v>
      </c>
      <c r="E9" s="144" t="s">
        <v>49</v>
      </c>
      <c r="F9" s="145" t="s">
        <v>50</v>
      </c>
      <c r="G9" s="62">
        <v>0.87</v>
      </c>
      <c r="H9" s="62">
        <v>0.87</v>
      </c>
      <c r="I9" s="63">
        <v>1</v>
      </c>
      <c r="J9" s="62">
        <v>1.1499999999999999</v>
      </c>
      <c r="K9" s="62">
        <v>1.3</v>
      </c>
      <c r="L9" s="62">
        <v>1.3</v>
      </c>
    </row>
    <row r="10" spans="3:12" ht="13.5" thickBot="1">
      <c r="C10" s="59"/>
      <c r="D10" s="64">
        <v>7</v>
      </c>
      <c r="E10" s="146" t="s">
        <v>51</v>
      </c>
      <c r="F10" s="147" t="s">
        <v>52</v>
      </c>
      <c r="G10" s="66">
        <v>0.87</v>
      </c>
      <c r="H10" s="66">
        <v>0.87</v>
      </c>
      <c r="I10" s="67">
        <v>1</v>
      </c>
      <c r="J10" s="66">
        <v>1.07</v>
      </c>
      <c r="K10" s="66">
        <v>1.1499999999999999</v>
      </c>
      <c r="L10" s="66">
        <v>1.1499999999999999</v>
      </c>
    </row>
    <row r="11" spans="3:12">
      <c r="C11" t="s">
        <v>53</v>
      </c>
      <c r="D11" s="1">
        <v>8</v>
      </c>
      <c r="E11" s="61" t="s">
        <v>54</v>
      </c>
      <c r="F11" s="1" t="s">
        <v>55</v>
      </c>
      <c r="G11" s="62">
        <v>1.46</v>
      </c>
      <c r="H11" s="62">
        <v>1.19</v>
      </c>
      <c r="I11" s="63">
        <v>1</v>
      </c>
      <c r="J11" s="62">
        <v>0.86</v>
      </c>
      <c r="K11" s="62">
        <v>0.71</v>
      </c>
      <c r="L11" s="62">
        <v>0.71</v>
      </c>
    </row>
    <row r="12" spans="3:12">
      <c r="D12" s="1">
        <v>9</v>
      </c>
      <c r="E12" s="61" t="s">
        <v>56</v>
      </c>
      <c r="F12" s="1" t="s">
        <v>57</v>
      </c>
      <c r="G12" s="62">
        <v>1.29</v>
      </c>
      <c r="H12" s="62">
        <v>1.1299999999999999</v>
      </c>
      <c r="I12" s="63">
        <v>1</v>
      </c>
      <c r="J12" s="62">
        <v>0.91</v>
      </c>
      <c r="K12" s="62">
        <v>0.82</v>
      </c>
      <c r="L12" s="62">
        <v>0.82</v>
      </c>
    </row>
    <row r="13" spans="3:12">
      <c r="D13" s="1">
        <v>10</v>
      </c>
      <c r="E13" s="61" t="s">
        <v>58</v>
      </c>
      <c r="F13" s="1" t="s">
        <v>59</v>
      </c>
      <c r="G13" s="62">
        <v>1.42</v>
      </c>
      <c r="H13" s="62">
        <v>1.17</v>
      </c>
      <c r="I13" s="63">
        <v>1</v>
      </c>
      <c r="J13" s="62">
        <v>0.86</v>
      </c>
      <c r="K13" s="62">
        <v>0.7</v>
      </c>
      <c r="L13" s="62">
        <v>0.7</v>
      </c>
    </row>
    <row r="14" spans="3:12">
      <c r="D14" s="1">
        <v>11</v>
      </c>
      <c r="E14" s="144" t="s">
        <v>60</v>
      </c>
      <c r="F14" s="145" t="s">
        <v>61</v>
      </c>
      <c r="G14" s="62">
        <v>1.21</v>
      </c>
      <c r="H14" s="62">
        <v>1.1000000000000001</v>
      </c>
      <c r="I14" s="63">
        <v>1</v>
      </c>
      <c r="J14" s="62">
        <v>0.9</v>
      </c>
      <c r="K14" s="62">
        <v>0.9</v>
      </c>
      <c r="L14" s="62">
        <v>0.9</v>
      </c>
    </row>
    <row r="15" spans="3:12" ht="13.5" thickBot="1">
      <c r="C15" s="59"/>
      <c r="D15" s="64">
        <v>12</v>
      </c>
      <c r="E15" s="65" t="s">
        <v>62</v>
      </c>
      <c r="F15" s="64" t="s">
        <v>63</v>
      </c>
      <c r="G15" s="66">
        <v>1.1399999999999999</v>
      </c>
      <c r="H15" s="66">
        <v>1.07</v>
      </c>
      <c r="I15" s="67">
        <v>1</v>
      </c>
      <c r="J15" s="66">
        <v>0.95</v>
      </c>
      <c r="K15" s="66">
        <v>0.95</v>
      </c>
      <c r="L15" s="66">
        <v>0.95</v>
      </c>
    </row>
    <row r="16" spans="3:12">
      <c r="C16" t="s">
        <v>64</v>
      </c>
      <c r="D16" s="1">
        <v>13</v>
      </c>
      <c r="E16" s="61" t="s">
        <v>65</v>
      </c>
      <c r="F16" s="1" t="s">
        <v>66</v>
      </c>
      <c r="G16" s="62">
        <v>1.24</v>
      </c>
      <c r="H16" s="62">
        <v>1.1000000000000001</v>
      </c>
      <c r="I16" s="63">
        <v>1</v>
      </c>
      <c r="J16" s="62">
        <v>0.91</v>
      </c>
      <c r="K16" s="62">
        <v>0.82</v>
      </c>
      <c r="L16" s="62">
        <v>0.82</v>
      </c>
    </row>
    <row r="17" spans="2:12">
      <c r="D17" s="1">
        <v>14</v>
      </c>
      <c r="E17" s="61" t="s">
        <v>67</v>
      </c>
      <c r="F17" s="1" t="s">
        <v>68</v>
      </c>
      <c r="G17" s="62">
        <v>1.24</v>
      </c>
      <c r="H17" s="62">
        <v>1.1000000000000001</v>
      </c>
      <c r="I17" s="63">
        <v>1</v>
      </c>
      <c r="J17" s="62">
        <v>0.91</v>
      </c>
      <c r="K17" s="62">
        <v>0.83</v>
      </c>
      <c r="L17" s="62">
        <v>0.83</v>
      </c>
    </row>
    <row r="18" spans="2:12" ht="13.5" thickBot="1">
      <c r="C18" s="59"/>
      <c r="D18" s="64">
        <v>15</v>
      </c>
      <c r="E18" s="65" t="s">
        <v>69</v>
      </c>
      <c r="F18" s="148" t="s">
        <v>70</v>
      </c>
      <c r="G18" s="66">
        <v>1.23</v>
      </c>
      <c r="H18" s="66">
        <v>1.08</v>
      </c>
      <c r="I18" s="67">
        <v>1</v>
      </c>
      <c r="J18" s="66">
        <v>1.04</v>
      </c>
      <c r="K18" s="66">
        <v>1.1000000000000001</v>
      </c>
      <c r="L18" s="66">
        <v>1.1000000000000001</v>
      </c>
    </row>
    <row r="20" spans="2:12">
      <c r="D20" s="137" t="s">
        <v>281</v>
      </c>
    </row>
    <row r="21" spans="2:12" ht="18">
      <c r="C21" s="58" t="s">
        <v>71</v>
      </c>
    </row>
    <row r="22" spans="2:12">
      <c r="F22" t="s">
        <v>72</v>
      </c>
      <c r="G22" s="1">
        <v>1</v>
      </c>
      <c r="H22" s="1">
        <v>2</v>
      </c>
      <c r="I22" s="1">
        <v>3</v>
      </c>
    </row>
    <row r="23" spans="2:12">
      <c r="F23" t="s">
        <v>73</v>
      </c>
      <c r="G23" s="1" t="s">
        <v>74</v>
      </c>
      <c r="H23" s="1" t="s">
        <v>75</v>
      </c>
      <c r="I23" s="1" t="s">
        <v>76</v>
      </c>
    </row>
    <row r="24" spans="2:12">
      <c r="C24" t="s">
        <v>72</v>
      </c>
      <c r="D24" t="s">
        <v>72</v>
      </c>
      <c r="F24" s="68" t="s">
        <v>77</v>
      </c>
      <c r="G24" s="62">
        <v>2.4</v>
      </c>
      <c r="H24" s="62">
        <v>3</v>
      </c>
      <c r="I24" s="62">
        <v>3.6</v>
      </c>
    </row>
    <row r="25" spans="2:12">
      <c r="D25" t="s">
        <v>72</v>
      </c>
      <c r="F25" s="68" t="s">
        <v>78</v>
      </c>
      <c r="G25" s="62">
        <v>1.05</v>
      </c>
      <c r="H25" s="62">
        <v>1.1200000000000001</v>
      </c>
      <c r="I25" s="62">
        <v>1.2</v>
      </c>
    </row>
    <row r="26" spans="2:12">
      <c r="D26" t="s">
        <v>72</v>
      </c>
      <c r="F26" s="68" t="s">
        <v>79</v>
      </c>
      <c r="G26" s="62">
        <v>2.5</v>
      </c>
      <c r="H26" s="62">
        <v>2.5</v>
      </c>
      <c r="I26" s="62">
        <v>2.5</v>
      </c>
    </row>
    <row r="27" spans="2:12">
      <c r="F27" s="68" t="s">
        <v>80</v>
      </c>
      <c r="G27" s="62">
        <v>0.38</v>
      </c>
      <c r="H27" s="62">
        <v>0.35</v>
      </c>
      <c r="I27" s="62">
        <v>0.32</v>
      </c>
    </row>
    <row r="29" spans="2:12">
      <c r="C29" s="69" t="s">
        <v>81</v>
      </c>
      <c r="D29" s="70" t="s">
        <v>82</v>
      </c>
      <c r="E29" s="70" t="s">
        <v>83</v>
      </c>
    </row>
    <row r="30" spans="2:12" ht="13.5">
      <c r="B30" s="108" t="s">
        <v>235</v>
      </c>
      <c r="C30" s="109" t="s">
        <v>84</v>
      </c>
      <c r="D30" s="110"/>
      <c r="E30" s="72"/>
      <c r="G30" s="138"/>
      <c r="H30" s="139"/>
      <c r="I30" s="139"/>
      <c r="J30" s="140"/>
    </row>
    <row r="31" spans="2:12">
      <c r="C31" s="71"/>
      <c r="D31" s="73">
        <v>1</v>
      </c>
      <c r="E31" s="73">
        <v>-0.1</v>
      </c>
    </row>
    <row r="32" spans="2:12">
      <c r="C32" s="71"/>
      <c r="D32" s="73">
        <v>2</v>
      </c>
      <c r="E32" s="73">
        <v>0</v>
      </c>
    </row>
    <row r="33" spans="2:5">
      <c r="C33" s="71"/>
      <c r="D33" s="73" t="s">
        <v>85</v>
      </c>
      <c r="E33" s="73">
        <v>0.1</v>
      </c>
    </row>
    <row r="34" spans="2:5">
      <c r="B34" s="108" t="s">
        <v>241</v>
      </c>
      <c r="C34" s="109" t="s">
        <v>86</v>
      </c>
      <c r="D34" s="110"/>
      <c r="E34" s="72"/>
    </row>
    <row r="35" spans="2:5">
      <c r="C35" s="71"/>
      <c r="D35" s="73">
        <v>1</v>
      </c>
      <c r="E35" s="73">
        <v>-0.1</v>
      </c>
    </row>
    <row r="36" spans="2:5">
      <c r="C36" s="71"/>
      <c r="D36" s="73">
        <v>2</v>
      </c>
      <c r="E36" s="73">
        <v>0</v>
      </c>
    </row>
    <row r="37" spans="2:5">
      <c r="C37" s="71"/>
      <c r="D37" s="73">
        <v>3</v>
      </c>
      <c r="E37" s="73">
        <v>0.1</v>
      </c>
    </row>
    <row r="38" spans="2:5">
      <c r="C38" s="71"/>
      <c r="D38" s="73">
        <v>4</v>
      </c>
      <c r="E38" s="73">
        <v>0.2</v>
      </c>
    </row>
    <row r="39" spans="2:5">
      <c r="B39" s="108" t="s">
        <v>238</v>
      </c>
      <c r="C39" s="109" t="s">
        <v>87</v>
      </c>
      <c r="D39" s="110"/>
      <c r="E39" s="72"/>
    </row>
    <row r="40" spans="2:5">
      <c r="C40" s="71"/>
      <c r="D40" s="73">
        <v>1</v>
      </c>
      <c r="E40" s="73">
        <v>0</v>
      </c>
    </row>
    <row r="41" spans="2:5">
      <c r="C41" s="71"/>
      <c r="D41" s="73">
        <v>2</v>
      </c>
      <c r="E41" s="73">
        <v>0.05</v>
      </c>
    </row>
    <row r="42" spans="2:5">
      <c r="C42" s="71"/>
      <c r="D42" s="73">
        <v>3</v>
      </c>
      <c r="E42" s="73">
        <v>0.1</v>
      </c>
    </row>
    <row r="43" spans="2:5">
      <c r="C43" s="71"/>
      <c r="D43" s="73" t="s">
        <v>88</v>
      </c>
      <c r="E43" s="73">
        <v>0.15</v>
      </c>
    </row>
    <row r="44" spans="2:5">
      <c r="B44" s="108" t="s">
        <v>236</v>
      </c>
      <c r="C44" s="109" t="s">
        <v>89</v>
      </c>
      <c r="D44" s="110"/>
      <c r="E44" s="72"/>
    </row>
    <row r="45" spans="2:5">
      <c r="C45" s="74" t="s">
        <v>90</v>
      </c>
      <c r="D45" s="73">
        <v>1</v>
      </c>
      <c r="E45" s="73">
        <v>-0.2</v>
      </c>
    </row>
    <row r="46" spans="2:5">
      <c r="C46" s="74" t="s">
        <v>91</v>
      </c>
      <c r="D46" s="73">
        <v>2</v>
      </c>
      <c r="E46" s="73">
        <v>0</v>
      </c>
    </row>
    <row r="47" spans="2:5">
      <c r="C47" s="74" t="s">
        <v>92</v>
      </c>
      <c r="D47" s="73">
        <v>3</v>
      </c>
      <c r="E47" s="73">
        <v>0.1</v>
      </c>
    </row>
    <row r="48" spans="2:5">
      <c r="C48" s="74" t="s">
        <v>93</v>
      </c>
      <c r="D48" s="73">
        <v>4</v>
      </c>
      <c r="E48" s="73">
        <v>0.3</v>
      </c>
    </row>
    <row r="49" spans="2:5">
      <c r="B49" s="108" t="s">
        <v>237</v>
      </c>
      <c r="C49" s="109" t="s">
        <v>94</v>
      </c>
      <c r="D49" s="110"/>
      <c r="E49" s="72"/>
    </row>
    <row r="50" spans="2:5">
      <c r="C50" s="74" t="s">
        <v>95</v>
      </c>
      <c r="D50" s="73">
        <v>1</v>
      </c>
      <c r="E50" s="73">
        <v>0</v>
      </c>
    </row>
    <row r="51" spans="2:5">
      <c r="C51" s="74" t="s">
        <v>96</v>
      </c>
      <c r="D51" s="73">
        <v>2</v>
      </c>
      <c r="E51" s="73">
        <v>0.05</v>
      </c>
    </row>
    <row r="52" spans="2:5">
      <c r="C52" s="74" t="s">
        <v>97</v>
      </c>
      <c r="D52" s="73">
        <v>3</v>
      </c>
      <c r="E52" s="73">
        <v>0.15</v>
      </c>
    </row>
    <row r="53" spans="2:5">
      <c r="C53" s="74" t="s">
        <v>98</v>
      </c>
      <c r="D53" s="73">
        <v>4</v>
      </c>
      <c r="E53" s="73">
        <v>0.25</v>
      </c>
    </row>
    <row r="54" spans="2:5">
      <c r="B54" s="108" t="s">
        <v>239</v>
      </c>
      <c r="C54" s="109" t="s">
        <v>99</v>
      </c>
      <c r="D54" s="110"/>
      <c r="E54" s="72"/>
    </row>
    <row r="55" spans="2:5">
      <c r="C55" s="74" t="s">
        <v>100</v>
      </c>
      <c r="D55" s="72">
        <v>1</v>
      </c>
      <c r="E55" s="72">
        <v>-0.1</v>
      </c>
    </row>
    <row r="56" spans="2:5">
      <c r="C56" s="74" t="s">
        <v>91</v>
      </c>
      <c r="D56" s="72">
        <v>2</v>
      </c>
      <c r="E56" s="72">
        <v>0</v>
      </c>
    </row>
    <row r="57" spans="2:5">
      <c r="C57" s="74" t="s">
        <v>101</v>
      </c>
      <c r="D57" s="72">
        <v>3</v>
      </c>
      <c r="E57" s="72">
        <v>0.1</v>
      </c>
    </row>
    <row r="58" spans="2:5">
      <c r="C58" s="74" t="s">
        <v>102</v>
      </c>
      <c r="D58" s="72">
        <v>4</v>
      </c>
      <c r="E58" s="72">
        <v>0.3</v>
      </c>
    </row>
    <row r="59" spans="2:5">
      <c r="B59" s="108" t="s">
        <v>240</v>
      </c>
      <c r="C59" s="109" t="s">
        <v>103</v>
      </c>
      <c r="D59" s="110"/>
      <c r="E59" s="72"/>
    </row>
    <row r="60" spans="2:5">
      <c r="C60" s="74" t="s">
        <v>104</v>
      </c>
      <c r="D60" s="73">
        <v>1</v>
      </c>
      <c r="E60" s="73">
        <v>-0.1</v>
      </c>
    </row>
    <row r="61" spans="2:5">
      <c r="C61" s="74" t="s">
        <v>91</v>
      </c>
      <c r="D61" s="73">
        <v>2</v>
      </c>
      <c r="E61" s="73">
        <v>0</v>
      </c>
    </row>
    <row r="62" spans="2:5">
      <c r="C62" s="74" t="s">
        <v>105</v>
      </c>
      <c r="D62" s="73">
        <v>3</v>
      </c>
      <c r="E62" s="73">
        <v>0.15</v>
      </c>
    </row>
    <row r="63" spans="2:5">
      <c r="C63" s="74" t="s">
        <v>106</v>
      </c>
      <c r="D63" s="73">
        <v>4</v>
      </c>
      <c r="E63" s="73">
        <v>0.25</v>
      </c>
    </row>
    <row r="64" spans="2:5">
      <c r="B64" s="127" t="s">
        <v>268</v>
      </c>
      <c r="C64" s="125" t="s">
        <v>107</v>
      </c>
      <c r="D64" s="126"/>
      <c r="E64" s="72"/>
    </row>
    <row r="65" spans="2:5">
      <c r="C65" s="74" t="s">
        <v>100</v>
      </c>
      <c r="D65" s="73">
        <v>1</v>
      </c>
      <c r="E65" s="73">
        <v>-0.15</v>
      </c>
    </row>
    <row r="66" spans="2:5">
      <c r="C66" s="74" t="s">
        <v>91</v>
      </c>
      <c r="D66" s="73">
        <v>2</v>
      </c>
      <c r="E66" s="73">
        <v>0</v>
      </c>
    </row>
    <row r="67" spans="2:5">
      <c r="C67" s="74" t="s">
        <v>101</v>
      </c>
      <c r="D67" s="73">
        <v>3</v>
      </c>
      <c r="E67" s="73">
        <v>0.15</v>
      </c>
    </row>
    <row r="68" spans="2:5">
      <c r="C68" s="74" t="s">
        <v>102</v>
      </c>
      <c r="D68" s="73">
        <v>4</v>
      </c>
      <c r="E68" s="73">
        <v>0.3</v>
      </c>
    </row>
    <row r="71" spans="2:5">
      <c r="B71" s="116" t="s">
        <v>266</v>
      </c>
      <c r="C71" s="109" t="s">
        <v>242</v>
      </c>
      <c r="D71" s="110"/>
      <c r="E71" s="72"/>
    </row>
    <row r="72" spans="2:5">
      <c r="C72" s="74" t="s">
        <v>95</v>
      </c>
      <c r="D72" s="73">
        <v>1</v>
      </c>
      <c r="E72" s="73">
        <v>0</v>
      </c>
    </row>
    <row r="73" spans="2:5">
      <c r="C73" s="74" t="s">
        <v>96</v>
      </c>
      <c r="D73" s="73">
        <v>2</v>
      </c>
      <c r="E73" s="73">
        <v>0.2</v>
      </c>
    </row>
    <row r="74" spans="2:5">
      <c r="C74" s="74" t="s">
        <v>97</v>
      </c>
      <c r="D74" s="73">
        <v>3</v>
      </c>
      <c r="E74" s="73">
        <v>0.3</v>
      </c>
    </row>
    <row r="75" spans="2:5">
      <c r="C75" s="74" t="s">
        <v>98</v>
      </c>
      <c r="D75" s="73">
        <v>4</v>
      </c>
      <c r="E75" s="73">
        <v>0.4</v>
      </c>
    </row>
    <row r="76" spans="2:5">
      <c r="B76" s="121"/>
      <c r="C76" s="125" t="s">
        <v>243</v>
      </c>
      <c r="D76" s="126"/>
      <c r="E76" s="72"/>
    </row>
    <row r="77" spans="2:5">
      <c r="C77" s="74" t="s">
        <v>244</v>
      </c>
      <c r="D77" s="73">
        <v>1</v>
      </c>
      <c r="E77" s="73">
        <v>0</v>
      </c>
    </row>
    <row r="78" spans="2:5">
      <c r="C78" s="74" t="s">
        <v>245</v>
      </c>
      <c r="D78" s="73">
        <v>2</v>
      </c>
      <c r="E78" s="73">
        <v>-0.1</v>
      </c>
    </row>
    <row r="79" spans="2:5">
      <c r="C79" s="74" t="s">
        <v>246</v>
      </c>
      <c r="D79" s="73">
        <v>3</v>
      </c>
      <c r="E79" s="73">
        <v>-0.25</v>
      </c>
    </row>
    <row r="80" spans="2:5">
      <c r="C80" s="74" t="s">
        <v>247</v>
      </c>
      <c r="D80" s="73">
        <v>4</v>
      </c>
      <c r="E80" s="73">
        <v>-0.4</v>
      </c>
    </row>
    <row r="81" spans="2:5" ht="13.5">
      <c r="B81" s="121"/>
      <c r="C81" s="122" t="s">
        <v>248</v>
      </c>
      <c r="D81" s="124"/>
      <c r="E81" s="112"/>
    </row>
    <row r="82" spans="2:5" ht="13.5">
      <c r="C82" s="111" t="s">
        <v>249</v>
      </c>
      <c r="D82" s="113">
        <v>1</v>
      </c>
      <c r="E82" s="113">
        <v>0</v>
      </c>
    </row>
    <row r="83" spans="2:5" ht="13.5">
      <c r="C83" s="111" t="s">
        <v>250</v>
      </c>
      <c r="D83" s="113">
        <v>2</v>
      </c>
      <c r="E83" s="113">
        <v>-0.05</v>
      </c>
    </row>
    <row r="84" spans="2:5" ht="13.5">
      <c r="C84" s="111" t="s">
        <v>251</v>
      </c>
      <c r="D84" s="113">
        <v>3</v>
      </c>
      <c r="E84" s="113">
        <v>-0.1</v>
      </c>
    </row>
    <row r="85" spans="2:5" ht="13.5">
      <c r="C85" s="111" t="s">
        <v>252</v>
      </c>
      <c r="D85" s="113">
        <v>4</v>
      </c>
      <c r="E85" s="73">
        <v>-0.15</v>
      </c>
    </row>
    <row r="86" spans="2:5" ht="13.5">
      <c r="B86" s="116" t="s">
        <v>265</v>
      </c>
      <c r="C86" s="117" t="s">
        <v>253</v>
      </c>
      <c r="D86" s="118"/>
      <c r="E86" s="6"/>
    </row>
    <row r="87" spans="2:5" ht="13.5">
      <c r="C87" s="111" t="s">
        <v>254</v>
      </c>
      <c r="D87" s="114">
        <v>1</v>
      </c>
      <c r="E87" s="113">
        <v>0.2</v>
      </c>
    </row>
    <row r="88" spans="2:5" ht="13.5">
      <c r="C88" s="111" t="s">
        <v>255</v>
      </c>
      <c r="D88" s="113">
        <v>2</v>
      </c>
      <c r="E88" s="113">
        <v>0.1</v>
      </c>
    </row>
    <row r="89" spans="2:5" ht="13.5">
      <c r="C89" s="111" t="s">
        <v>256</v>
      </c>
      <c r="D89" s="113">
        <v>3</v>
      </c>
      <c r="E89" s="113">
        <v>0</v>
      </c>
    </row>
    <row r="90" spans="2:5" ht="13.5">
      <c r="C90" s="111" t="s">
        <v>257</v>
      </c>
      <c r="D90" s="113">
        <v>4</v>
      </c>
      <c r="E90" s="113">
        <v>-0.2</v>
      </c>
    </row>
    <row r="91" spans="2:5" ht="13.5">
      <c r="B91" s="121"/>
      <c r="C91" s="122" t="s">
        <v>258</v>
      </c>
      <c r="D91" s="123"/>
      <c r="E91" s="6"/>
    </row>
    <row r="92" spans="2:5" ht="13.5">
      <c r="C92" s="111" t="s">
        <v>259</v>
      </c>
      <c r="D92" s="114">
        <v>0</v>
      </c>
      <c r="E92" s="113">
        <v>0</v>
      </c>
    </row>
    <row r="93" spans="2:5" ht="13.5">
      <c r="C93" s="111" t="s">
        <v>260</v>
      </c>
      <c r="D93" s="113">
        <v>1</v>
      </c>
      <c r="E93" s="113">
        <v>0.1</v>
      </c>
    </row>
    <row r="94" spans="2:5" ht="13.5">
      <c r="C94" s="111" t="s">
        <v>261</v>
      </c>
      <c r="D94" s="113">
        <v>2</v>
      </c>
      <c r="E94" s="113">
        <v>0.25</v>
      </c>
    </row>
    <row r="95" spans="2:5" ht="13.5">
      <c r="C95" s="111" t="s">
        <v>262</v>
      </c>
      <c r="D95" s="113" t="s">
        <v>85</v>
      </c>
      <c r="E95" s="113">
        <v>0.4</v>
      </c>
    </row>
    <row r="96" spans="2:5" ht="13.5">
      <c r="B96" s="121"/>
      <c r="C96" s="122" t="s">
        <v>263</v>
      </c>
      <c r="D96" s="123"/>
      <c r="E96" s="6"/>
    </row>
    <row r="97" spans="2:8">
      <c r="C97" s="74" t="s">
        <v>95</v>
      </c>
      <c r="D97" s="73">
        <v>1</v>
      </c>
      <c r="E97" s="73">
        <v>0</v>
      </c>
    </row>
    <row r="98" spans="2:8">
      <c r="C98" s="74" t="s">
        <v>96</v>
      </c>
      <c r="D98" s="73">
        <v>2</v>
      </c>
      <c r="E98" s="73">
        <v>0.2</v>
      </c>
    </row>
    <row r="99" spans="2:8">
      <c r="C99" s="74" t="s">
        <v>97</v>
      </c>
      <c r="D99" s="73">
        <v>3</v>
      </c>
      <c r="E99" s="73">
        <v>0.3</v>
      </c>
    </row>
    <row r="100" spans="2:8">
      <c r="C100" s="74" t="s">
        <v>98</v>
      </c>
      <c r="D100" s="73">
        <v>4</v>
      </c>
      <c r="E100" s="73">
        <v>0.4</v>
      </c>
    </row>
    <row r="101" spans="2:8">
      <c r="B101" s="116" t="s">
        <v>267</v>
      </c>
      <c r="C101" s="109" t="s">
        <v>264</v>
      </c>
      <c r="D101" s="110"/>
      <c r="E101" s="72"/>
    </row>
    <row r="102" spans="2:8">
      <c r="C102" s="71"/>
      <c r="D102" s="73">
        <v>1</v>
      </c>
      <c r="E102" s="73">
        <v>0.45</v>
      </c>
    </row>
    <row r="103" spans="2:8">
      <c r="C103" s="71"/>
      <c r="D103" s="73">
        <v>2</v>
      </c>
      <c r="E103" s="73">
        <v>0.3</v>
      </c>
    </row>
    <row r="104" spans="2:8">
      <c r="C104" s="71"/>
      <c r="D104" s="73">
        <v>3</v>
      </c>
      <c r="E104" s="73">
        <v>0.15</v>
      </c>
    </row>
    <row r="105" spans="2:8">
      <c r="C105" s="71"/>
      <c r="D105" s="73">
        <v>4</v>
      </c>
      <c r="E105" s="73">
        <v>0</v>
      </c>
    </row>
    <row r="109" spans="2:8" ht="16.5">
      <c r="C109" s="75" t="s">
        <v>108</v>
      </c>
      <c r="D109" s="75"/>
      <c r="E109" s="76"/>
      <c r="F109" s="77"/>
      <c r="G109" s="78"/>
    </row>
    <row r="110" spans="2:8" ht="13.5">
      <c r="C110" s="77"/>
      <c r="D110" s="77"/>
      <c r="E110" s="76"/>
      <c r="F110" s="77"/>
      <c r="G110" s="78"/>
    </row>
    <row r="111" spans="2:8" ht="15">
      <c r="C111" s="79" t="s">
        <v>83</v>
      </c>
      <c r="D111" s="80" t="s">
        <v>109</v>
      </c>
      <c r="E111" s="81" t="s">
        <v>82</v>
      </c>
      <c r="F111" s="79" t="s">
        <v>110</v>
      </c>
      <c r="G111" s="82" t="s">
        <v>111</v>
      </c>
      <c r="H111" s="156" t="s">
        <v>325</v>
      </c>
    </row>
    <row r="112" spans="2:8" ht="13.5">
      <c r="C112" s="83" t="s">
        <v>119</v>
      </c>
      <c r="D112" s="158" t="s">
        <v>120</v>
      </c>
      <c r="E112" s="84">
        <v>1</v>
      </c>
      <c r="F112" s="83" t="s">
        <v>121</v>
      </c>
      <c r="G112" s="85">
        <v>-0.05</v>
      </c>
      <c r="H112">
        <f t="shared" ref="H112:H143" si="0">1+(1*G112)</f>
        <v>0.95</v>
      </c>
    </row>
    <row r="113" spans="3:8" ht="13.5">
      <c r="C113" s="83" t="s">
        <v>119</v>
      </c>
      <c r="D113" s="158" t="s">
        <v>120</v>
      </c>
      <c r="E113" s="84">
        <v>2</v>
      </c>
      <c r="F113" s="83" t="s">
        <v>127</v>
      </c>
      <c r="G113" s="85">
        <v>0</v>
      </c>
      <c r="H113">
        <f t="shared" si="0"/>
        <v>1</v>
      </c>
    </row>
    <row r="114" spans="3:8" ht="13.5">
      <c r="C114" s="86" t="s">
        <v>119</v>
      </c>
      <c r="D114" s="90" t="s">
        <v>120</v>
      </c>
      <c r="E114" s="88">
        <v>3</v>
      </c>
      <c r="F114" s="86" t="s">
        <v>138</v>
      </c>
      <c r="G114" s="89">
        <v>0.05</v>
      </c>
      <c r="H114">
        <f t="shared" si="0"/>
        <v>1.05</v>
      </c>
    </row>
    <row r="115" spans="3:8" ht="13.5">
      <c r="C115" s="83" t="s">
        <v>119</v>
      </c>
      <c r="D115" s="158" t="s">
        <v>120</v>
      </c>
      <c r="E115" s="84" t="s">
        <v>88</v>
      </c>
      <c r="F115" s="83" t="s">
        <v>145</v>
      </c>
      <c r="G115" s="85">
        <v>0.1</v>
      </c>
      <c r="H115">
        <f t="shared" si="0"/>
        <v>1.1000000000000001</v>
      </c>
    </row>
    <row r="116" spans="3:8" ht="13.5">
      <c r="C116" s="119" t="s">
        <v>112</v>
      </c>
      <c r="D116" s="87" t="s">
        <v>113</v>
      </c>
      <c r="E116" s="88" t="s">
        <v>117</v>
      </c>
      <c r="F116" s="86" t="s">
        <v>118</v>
      </c>
      <c r="G116" s="89">
        <v>0</v>
      </c>
      <c r="H116">
        <f t="shared" si="0"/>
        <v>1</v>
      </c>
    </row>
    <row r="117" spans="3:8" ht="13.5">
      <c r="C117" s="119" t="s">
        <v>112</v>
      </c>
      <c r="D117" s="87" t="s">
        <v>113</v>
      </c>
      <c r="E117" s="88" t="s">
        <v>8</v>
      </c>
      <c r="F117" s="86" t="s">
        <v>115</v>
      </c>
      <c r="G117" s="89">
        <v>0.05</v>
      </c>
      <c r="H117">
        <f t="shared" si="0"/>
        <v>1.05</v>
      </c>
    </row>
    <row r="118" spans="3:8" ht="13.5">
      <c r="C118" s="119" t="s">
        <v>112</v>
      </c>
      <c r="D118" s="87" t="s">
        <v>113</v>
      </c>
      <c r="E118" s="88" t="s">
        <v>9</v>
      </c>
      <c r="F118" s="86" t="s">
        <v>116</v>
      </c>
      <c r="G118" s="89">
        <v>0.1</v>
      </c>
      <c r="H118">
        <f t="shared" si="0"/>
        <v>1.1000000000000001</v>
      </c>
    </row>
    <row r="119" spans="3:8" ht="13.5">
      <c r="C119" s="119" t="s">
        <v>112</v>
      </c>
      <c r="D119" s="87" t="s">
        <v>113</v>
      </c>
      <c r="E119" s="88" t="s">
        <v>10</v>
      </c>
      <c r="F119" s="86" t="s">
        <v>114</v>
      </c>
      <c r="G119" s="89">
        <v>0.15</v>
      </c>
      <c r="H119">
        <f t="shared" si="0"/>
        <v>1.1499999999999999</v>
      </c>
    </row>
    <row r="120" spans="3:8" ht="13.5">
      <c r="C120" s="119" t="s">
        <v>121</v>
      </c>
      <c r="D120" s="87" t="s">
        <v>122</v>
      </c>
      <c r="E120" s="88" t="s">
        <v>117</v>
      </c>
      <c r="F120" s="86" t="s">
        <v>126</v>
      </c>
      <c r="G120" s="89">
        <v>0</v>
      </c>
      <c r="H120">
        <f t="shared" si="0"/>
        <v>1</v>
      </c>
    </row>
    <row r="121" spans="3:8" ht="13.5">
      <c r="C121" s="119" t="s">
        <v>121</v>
      </c>
      <c r="D121" s="87" t="s">
        <v>122</v>
      </c>
      <c r="E121" s="88" t="s">
        <v>8</v>
      </c>
      <c r="F121" s="86" t="s">
        <v>124</v>
      </c>
      <c r="G121" s="89">
        <v>0.05</v>
      </c>
      <c r="H121">
        <f t="shared" si="0"/>
        <v>1.05</v>
      </c>
    </row>
    <row r="122" spans="3:8" ht="13.5">
      <c r="C122" s="119" t="s">
        <v>121</v>
      </c>
      <c r="D122" s="87" t="s">
        <v>122</v>
      </c>
      <c r="E122" s="88" t="s">
        <v>9</v>
      </c>
      <c r="F122" s="86" t="s">
        <v>125</v>
      </c>
      <c r="G122" s="89">
        <v>0.1</v>
      </c>
      <c r="H122">
        <f t="shared" si="0"/>
        <v>1.1000000000000001</v>
      </c>
    </row>
    <row r="123" spans="3:8" ht="13.5">
      <c r="C123" s="119" t="s">
        <v>121</v>
      </c>
      <c r="D123" s="87" t="s">
        <v>122</v>
      </c>
      <c r="E123" s="88" t="s">
        <v>10</v>
      </c>
      <c r="F123" s="86" t="s">
        <v>123</v>
      </c>
      <c r="G123" s="89">
        <v>0.15</v>
      </c>
      <c r="H123">
        <f t="shared" si="0"/>
        <v>1.1499999999999999</v>
      </c>
    </row>
    <row r="124" spans="3:8" ht="13.5">
      <c r="C124" s="119" t="s">
        <v>127</v>
      </c>
      <c r="D124" s="87" t="s">
        <v>225</v>
      </c>
      <c r="E124" s="88" t="s">
        <v>117</v>
      </c>
      <c r="F124" s="86" t="s">
        <v>229</v>
      </c>
      <c r="G124" s="89">
        <v>0</v>
      </c>
      <c r="H124">
        <f t="shared" si="0"/>
        <v>1</v>
      </c>
    </row>
    <row r="125" spans="3:8" ht="13.5">
      <c r="C125" s="119" t="s">
        <v>127</v>
      </c>
      <c r="D125" s="87" t="s">
        <v>225</v>
      </c>
      <c r="E125" s="88" t="s">
        <v>8</v>
      </c>
      <c r="F125" s="86" t="s">
        <v>227</v>
      </c>
      <c r="G125" s="89">
        <v>0.05</v>
      </c>
      <c r="H125">
        <f t="shared" si="0"/>
        <v>1.05</v>
      </c>
    </row>
    <row r="126" spans="3:8" ht="13.5">
      <c r="C126" s="119" t="s">
        <v>127</v>
      </c>
      <c r="D126" s="87" t="s">
        <v>225</v>
      </c>
      <c r="E126" s="88" t="s">
        <v>9</v>
      </c>
      <c r="F126" s="86" t="s">
        <v>228</v>
      </c>
      <c r="G126" s="89">
        <v>0.1</v>
      </c>
      <c r="H126">
        <f t="shared" si="0"/>
        <v>1.1000000000000001</v>
      </c>
    </row>
    <row r="127" spans="3:8" ht="13.5">
      <c r="C127" s="119" t="s">
        <v>127</v>
      </c>
      <c r="D127" s="87" t="s">
        <v>225</v>
      </c>
      <c r="E127" s="88" t="s">
        <v>10</v>
      </c>
      <c r="F127" s="86" t="s">
        <v>226</v>
      </c>
      <c r="G127" s="89">
        <v>0.15</v>
      </c>
      <c r="H127">
        <f t="shared" si="0"/>
        <v>1.1499999999999999</v>
      </c>
    </row>
    <row r="128" spans="3:8" ht="13.5">
      <c r="C128" s="119" t="s">
        <v>138</v>
      </c>
      <c r="D128" s="87" t="s">
        <v>230</v>
      </c>
      <c r="E128" s="88" t="s">
        <v>117</v>
      </c>
      <c r="F128" s="86" t="s">
        <v>234</v>
      </c>
      <c r="G128" s="89">
        <v>0</v>
      </c>
      <c r="H128">
        <f t="shared" si="0"/>
        <v>1</v>
      </c>
    </row>
    <row r="129" spans="3:8" ht="13.5">
      <c r="C129" s="119" t="s">
        <v>138</v>
      </c>
      <c r="D129" s="87" t="s">
        <v>230</v>
      </c>
      <c r="E129" s="88" t="s">
        <v>8</v>
      </c>
      <c r="F129" s="86" t="s">
        <v>232</v>
      </c>
      <c r="G129" s="89">
        <v>0.05</v>
      </c>
      <c r="H129">
        <f t="shared" si="0"/>
        <v>1.05</v>
      </c>
    </row>
    <row r="130" spans="3:8" ht="13.5">
      <c r="C130" s="119" t="s">
        <v>138</v>
      </c>
      <c r="D130" s="87" t="s">
        <v>230</v>
      </c>
      <c r="E130" s="88" t="s">
        <v>9</v>
      </c>
      <c r="F130" s="86" t="s">
        <v>233</v>
      </c>
      <c r="G130" s="89">
        <v>0.1</v>
      </c>
      <c r="H130">
        <f t="shared" si="0"/>
        <v>1.1000000000000001</v>
      </c>
    </row>
    <row r="131" spans="3:8" ht="13.5">
      <c r="C131" s="119" t="s">
        <v>138</v>
      </c>
      <c r="D131" s="87" t="s">
        <v>230</v>
      </c>
      <c r="E131" s="88" t="s">
        <v>10</v>
      </c>
      <c r="F131" s="86" t="s">
        <v>231</v>
      </c>
      <c r="G131" s="89">
        <v>0.15</v>
      </c>
      <c r="H131">
        <f t="shared" si="0"/>
        <v>1.1499999999999999</v>
      </c>
    </row>
    <row r="132" spans="3:8" ht="13.5">
      <c r="C132" s="119" t="s">
        <v>128</v>
      </c>
      <c r="D132" s="87" t="s">
        <v>129</v>
      </c>
      <c r="E132" s="88" t="s">
        <v>134</v>
      </c>
      <c r="F132" s="86" t="s">
        <v>135</v>
      </c>
      <c r="G132" s="89">
        <v>0</v>
      </c>
      <c r="H132">
        <f t="shared" si="0"/>
        <v>1</v>
      </c>
    </row>
    <row r="133" spans="3:8" ht="13.5">
      <c r="C133" s="119" t="s">
        <v>128</v>
      </c>
      <c r="D133" s="87" t="s">
        <v>129</v>
      </c>
      <c r="E133" s="88" t="s">
        <v>130</v>
      </c>
      <c r="F133" s="86" t="s">
        <v>131</v>
      </c>
      <c r="G133" s="89">
        <v>0.05</v>
      </c>
      <c r="H133">
        <f t="shared" si="0"/>
        <v>1.05</v>
      </c>
    </row>
    <row r="134" spans="3:8" ht="13.5">
      <c r="C134" s="119" t="s">
        <v>128</v>
      </c>
      <c r="D134" s="87" t="s">
        <v>129</v>
      </c>
      <c r="E134" s="88" t="s">
        <v>136</v>
      </c>
      <c r="F134" s="86" t="s">
        <v>137</v>
      </c>
      <c r="G134" s="89">
        <v>0.1</v>
      </c>
      <c r="H134">
        <f t="shared" si="0"/>
        <v>1.1000000000000001</v>
      </c>
    </row>
    <row r="135" spans="3:8" ht="13.5">
      <c r="C135" s="119" t="s">
        <v>128</v>
      </c>
      <c r="D135" s="87" t="s">
        <v>129</v>
      </c>
      <c r="E135" s="88" t="s">
        <v>132</v>
      </c>
      <c r="F135" s="86" t="s">
        <v>133</v>
      </c>
      <c r="G135" s="89">
        <v>0.15</v>
      </c>
      <c r="H135">
        <f t="shared" si="0"/>
        <v>1.1499999999999999</v>
      </c>
    </row>
    <row r="136" spans="3:8" ht="13.5">
      <c r="C136" s="119" t="s">
        <v>139</v>
      </c>
      <c r="D136" s="87" t="s">
        <v>140</v>
      </c>
      <c r="E136" s="88" t="s">
        <v>134</v>
      </c>
      <c r="F136" s="86" t="s">
        <v>143</v>
      </c>
      <c r="G136" s="89">
        <v>0</v>
      </c>
      <c r="H136">
        <f t="shared" si="0"/>
        <v>1</v>
      </c>
    </row>
    <row r="137" spans="3:8" ht="13.5">
      <c r="C137" s="119" t="s">
        <v>139</v>
      </c>
      <c r="D137" s="87" t="s">
        <v>140</v>
      </c>
      <c r="E137" s="88" t="s">
        <v>130</v>
      </c>
      <c r="F137" s="86" t="s">
        <v>141</v>
      </c>
      <c r="G137" s="89">
        <v>0.05</v>
      </c>
      <c r="H137">
        <f t="shared" si="0"/>
        <v>1.05</v>
      </c>
    </row>
    <row r="138" spans="3:8" ht="13.5">
      <c r="C138" s="119" t="s">
        <v>139</v>
      </c>
      <c r="D138" s="87" t="s">
        <v>140</v>
      </c>
      <c r="E138" s="88" t="s">
        <v>136</v>
      </c>
      <c r="F138" s="86" t="s">
        <v>144</v>
      </c>
      <c r="G138" s="89">
        <v>0.1</v>
      </c>
      <c r="H138">
        <f t="shared" si="0"/>
        <v>1.1000000000000001</v>
      </c>
    </row>
    <row r="139" spans="3:8" ht="13.5">
      <c r="C139" s="119" t="s">
        <v>139</v>
      </c>
      <c r="D139" s="87" t="s">
        <v>140</v>
      </c>
      <c r="E139" s="88" t="s">
        <v>132</v>
      </c>
      <c r="F139" s="86" t="s">
        <v>142</v>
      </c>
      <c r="G139" s="89">
        <v>0.15</v>
      </c>
      <c r="H139">
        <f t="shared" si="0"/>
        <v>1.1499999999999999</v>
      </c>
    </row>
    <row r="140" spans="3:8" ht="13.5">
      <c r="C140" s="86" t="s">
        <v>146</v>
      </c>
      <c r="D140" s="87" t="s">
        <v>147</v>
      </c>
      <c r="E140" s="88" t="s">
        <v>117</v>
      </c>
      <c r="F140" s="86" t="s">
        <v>151</v>
      </c>
      <c r="G140" s="89">
        <v>0</v>
      </c>
      <c r="H140">
        <f t="shared" si="0"/>
        <v>1</v>
      </c>
    </row>
    <row r="141" spans="3:8" ht="13.5">
      <c r="C141" s="86" t="s">
        <v>146</v>
      </c>
      <c r="D141" s="87" t="s">
        <v>147</v>
      </c>
      <c r="E141" s="88" t="s">
        <v>8</v>
      </c>
      <c r="F141" s="86" t="s">
        <v>149</v>
      </c>
      <c r="G141" s="89">
        <v>0.05</v>
      </c>
      <c r="H141">
        <f t="shared" si="0"/>
        <v>1.05</v>
      </c>
    </row>
    <row r="142" spans="3:8" ht="13.5">
      <c r="C142" s="86" t="s">
        <v>146</v>
      </c>
      <c r="D142" s="87" t="s">
        <v>147</v>
      </c>
      <c r="E142" s="88" t="s">
        <v>9</v>
      </c>
      <c r="F142" s="86" t="s">
        <v>150</v>
      </c>
      <c r="G142" s="89">
        <v>0.1</v>
      </c>
      <c r="H142">
        <f t="shared" si="0"/>
        <v>1.1000000000000001</v>
      </c>
    </row>
    <row r="143" spans="3:8" ht="13.5">
      <c r="C143" s="86" t="s">
        <v>146</v>
      </c>
      <c r="D143" s="87" t="s">
        <v>147</v>
      </c>
      <c r="E143" s="88" t="s">
        <v>10</v>
      </c>
      <c r="F143" s="86" t="s">
        <v>148</v>
      </c>
      <c r="G143" s="89">
        <v>0.15</v>
      </c>
      <c r="H143">
        <f t="shared" si="0"/>
        <v>1.1499999999999999</v>
      </c>
    </row>
    <row r="144" spans="3:8" ht="13.5">
      <c r="C144" s="86" t="s">
        <v>152</v>
      </c>
      <c r="D144" s="87" t="s">
        <v>153</v>
      </c>
      <c r="E144" s="88" t="s">
        <v>117</v>
      </c>
      <c r="F144" s="86" t="s">
        <v>157</v>
      </c>
      <c r="G144" s="89">
        <v>-0.1</v>
      </c>
      <c r="H144">
        <f t="shared" ref="H144:H175" si="1">1+(1*G144)</f>
        <v>0.9</v>
      </c>
    </row>
    <row r="145" spans="3:8" ht="13.5">
      <c r="C145" s="86" t="s">
        <v>152</v>
      </c>
      <c r="D145" s="87" t="s">
        <v>153</v>
      </c>
      <c r="E145" s="88" t="s">
        <v>8</v>
      </c>
      <c r="F145" s="86" t="s">
        <v>155</v>
      </c>
      <c r="G145" s="89">
        <v>0</v>
      </c>
      <c r="H145">
        <f t="shared" si="1"/>
        <v>1</v>
      </c>
    </row>
    <row r="146" spans="3:8" ht="13.5">
      <c r="C146" s="86" t="s">
        <v>152</v>
      </c>
      <c r="D146" s="87" t="s">
        <v>153</v>
      </c>
      <c r="E146" s="88" t="s">
        <v>9</v>
      </c>
      <c r="F146" s="86" t="s">
        <v>156</v>
      </c>
      <c r="G146" s="89">
        <v>0.05</v>
      </c>
      <c r="H146">
        <f t="shared" si="1"/>
        <v>1.05</v>
      </c>
    </row>
    <row r="147" spans="3:8" ht="13.5">
      <c r="C147" s="86" t="s">
        <v>152</v>
      </c>
      <c r="D147" s="87" t="s">
        <v>153</v>
      </c>
      <c r="E147" s="88" t="s">
        <v>10</v>
      </c>
      <c r="F147" s="86" t="s">
        <v>154</v>
      </c>
      <c r="G147" s="89">
        <v>0.1</v>
      </c>
      <c r="H147">
        <f t="shared" si="1"/>
        <v>1.1000000000000001</v>
      </c>
    </row>
    <row r="148" spans="3:8" ht="13.5">
      <c r="C148" s="86" t="s">
        <v>158</v>
      </c>
      <c r="D148" s="87" t="s">
        <v>159</v>
      </c>
      <c r="E148" s="88" t="s">
        <v>8</v>
      </c>
      <c r="F148" s="86" t="s">
        <v>161</v>
      </c>
      <c r="G148" s="89">
        <v>0</v>
      </c>
      <c r="H148">
        <f t="shared" si="1"/>
        <v>1</v>
      </c>
    </row>
    <row r="149" spans="3:8" ht="13.5">
      <c r="C149" s="86" t="s">
        <v>158</v>
      </c>
      <c r="D149" s="87" t="s">
        <v>159</v>
      </c>
      <c r="E149" s="88" t="s">
        <v>9</v>
      </c>
      <c r="F149" s="86" t="s">
        <v>162</v>
      </c>
      <c r="G149" s="89">
        <v>0.03</v>
      </c>
      <c r="H149">
        <f t="shared" si="1"/>
        <v>1.03</v>
      </c>
    </row>
    <row r="150" spans="3:8" ht="13.5">
      <c r="C150" s="86" t="s">
        <v>158</v>
      </c>
      <c r="D150" s="87" t="s">
        <v>159</v>
      </c>
      <c r="E150" s="88" t="s">
        <v>10</v>
      </c>
      <c r="F150" s="86" t="s">
        <v>160</v>
      </c>
      <c r="G150" s="89">
        <v>0.08</v>
      </c>
      <c r="H150">
        <f t="shared" si="1"/>
        <v>1.08</v>
      </c>
    </row>
    <row r="151" spans="3:8" ht="13.5">
      <c r="C151" s="86" t="s">
        <v>158</v>
      </c>
      <c r="D151" s="87" t="s">
        <v>159</v>
      </c>
      <c r="E151" s="88" t="s">
        <v>163</v>
      </c>
      <c r="F151" s="86" t="s">
        <v>164</v>
      </c>
      <c r="G151" s="89">
        <v>0.15</v>
      </c>
      <c r="H151">
        <f t="shared" si="1"/>
        <v>1.1499999999999999</v>
      </c>
    </row>
    <row r="152" spans="3:8" ht="13.5">
      <c r="C152" s="86" t="s">
        <v>165</v>
      </c>
      <c r="D152" s="87" t="s">
        <v>166</v>
      </c>
      <c r="E152" s="88" t="s">
        <v>10</v>
      </c>
      <c r="F152" s="86" t="s">
        <v>167</v>
      </c>
      <c r="G152" s="89">
        <v>-0.1</v>
      </c>
      <c r="H152">
        <f t="shared" si="1"/>
        <v>0.9</v>
      </c>
    </row>
    <row r="153" spans="3:8" ht="13.5">
      <c r="C153" s="86" t="s">
        <v>165</v>
      </c>
      <c r="D153" s="87" t="s">
        <v>166</v>
      </c>
      <c r="E153" s="88" t="s">
        <v>9</v>
      </c>
      <c r="F153" s="86" t="s">
        <v>169</v>
      </c>
      <c r="G153" s="89">
        <v>0</v>
      </c>
      <c r="H153">
        <f t="shared" si="1"/>
        <v>1</v>
      </c>
    </row>
    <row r="154" spans="3:8" ht="13.5">
      <c r="C154" s="86" t="s">
        <v>165</v>
      </c>
      <c r="D154" s="87" t="s">
        <v>166</v>
      </c>
      <c r="E154" s="88" t="s">
        <v>8</v>
      </c>
      <c r="F154" s="86" t="s">
        <v>168</v>
      </c>
      <c r="G154" s="89">
        <v>0.1</v>
      </c>
      <c r="H154">
        <f t="shared" si="1"/>
        <v>1.1000000000000001</v>
      </c>
    </row>
    <row r="155" spans="3:8" ht="13.5">
      <c r="C155" s="86" t="s">
        <v>165</v>
      </c>
      <c r="D155" s="87" t="s">
        <v>166</v>
      </c>
      <c r="E155" s="88" t="s">
        <v>117</v>
      </c>
      <c r="F155" s="86" t="s">
        <v>170</v>
      </c>
      <c r="G155" s="89">
        <v>0.2</v>
      </c>
      <c r="H155">
        <f t="shared" si="1"/>
        <v>1.2</v>
      </c>
    </row>
    <row r="156" spans="3:8" ht="13.5">
      <c r="C156" s="86" t="s">
        <v>171</v>
      </c>
      <c r="D156" s="87" t="s">
        <v>172</v>
      </c>
      <c r="E156" s="88" t="s">
        <v>10</v>
      </c>
      <c r="F156" s="86" t="s">
        <v>173</v>
      </c>
      <c r="G156" s="89">
        <v>-0.1</v>
      </c>
      <c r="H156">
        <f t="shared" si="1"/>
        <v>0.9</v>
      </c>
    </row>
    <row r="157" spans="3:8" ht="13.5">
      <c r="C157" s="86" t="s">
        <v>171</v>
      </c>
      <c r="D157" s="87" t="s">
        <v>172</v>
      </c>
      <c r="E157" s="88" t="s">
        <v>9</v>
      </c>
      <c r="F157" s="86" t="s">
        <v>175</v>
      </c>
      <c r="G157" s="89">
        <v>0</v>
      </c>
      <c r="H157">
        <f t="shared" si="1"/>
        <v>1</v>
      </c>
    </row>
    <row r="158" spans="3:8" ht="13.5">
      <c r="C158" s="86" t="s">
        <v>171</v>
      </c>
      <c r="D158" s="87" t="s">
        <v>172</v>
      </c>
      <c r="E158" s="88" t="s">
        <v>8</v>
      </c>
      <c r="F158" s="86" t="s">
        <v>174</v>
      </c>
      <c r="G158" s="89">
        <v>0.1</v>
      </c>
      <c r="H158">
        <f t="shared" si="1"/>
        <v>1.1000000000000001</v>
      </c>
    </row>
    <row r="159" spans="3:8" ht="13.5">
      <c r="C159" s="86" t="s">
        <v>171</v>
      </c>
      <c r="D159" s="87" t="s">
        <v>172</v>
      </c>
      <c r="E159" s="88" t="s">
        <v>117</v>
      </c>
      <c r="F159" s="86" t="s">
        <v>176</v>
      </c>
      <c r="G159" s="89">
        <v>0.2</v>
      </c>
      <c r="H159">
        <f t="shared" si="1"/>
        <v>1.2</v>
      </c>
    </row>
    <row r="160" spans="3:8" ht="13.5">
      <c r="C160" s="86" t="s">
        <v>177</v>
      </c>
      <c r="D160" s="87" t="s">
        <v>178</v>
      </c>
      <c r="E160" s="88" t="s">
        <v>10</v>
      </c>
      <c r="F160" s="86" t="s">
        <v>179</v>
      </c>
      <c r="G160" s="89">
        <v>-0.1</v>
      </c>
      <c r="H160">
        <f t="shared" si="1"/>
        <v>0.9</v>
      </c>
    </row>
    <row r="161" spans="3:8" ht="13.5">
      <c r="C161" s="86" t="s">
        <v>177</v>
      </c>
      <c r="D161" s="87" t="s">
        <v>178</v>
      </c>
      <c r="E161" s="88" t="s">
        <v>9</v>
      </c>
      <c r="F161" s="86" t="s">
        <v>181</v>
      </c>
      <c r="G161" s="89">
        <v>0</v>
      </c>
      <c r="H161">
        <f t="shared" si="1"/>
        <v>1</v>
      </c>
    </row>
    <row r="162" spans="3:8" ht="13.5">
      <c r="C162" s="86" t="s">
        <v>177</v>
      </c>
      <c r="D162" s="87" t="s">
        <v>178</v>
      </c>
      <c r="E162" s="88" t="s">
        <v>8</v>
      </c>
      <c r="F162" s="86" t="s">
        <v>180</v>
      </c>
      <c r="G162" s="89">
        <v>0.1</v>
      </c>
      <c r="H162">
        <f t="shared" si="1"/>
        <v>1.1000000000000001</v>
      </c>
    </row>
    <row r="163" spans="3:8" ht="13.5">
      <c r="C163" s="86" t="s">
        <v>177</v>
      </c>
      <c r="D163" s="87" t="s">
        <v>178</v>
      </c>
      <c r="E163" s="88" t="s">
        <v>117</v>
      </c>
      <c r="F163" s="86" t="s">
        <v>182</v>
      </c>
      <c r="G163" s="89">
        <v>0.2</v>
      </c>
      <c r="H163">
        <f t="shared" si="1"/>
        <v>1.2</v>
      </c>
    </row>
    <row r="164" spans="3:8" ht="13.5">
      <c r="C164" s="91" t="s">
        <v>183</v>
      </c>
      <c r="D164" s="87" t="s">
        <v>184</v>
      </c>
      <c r="E164" s="88" t="s">
        <v>117</v>
      </c>
      <c r="F164" s="86" t="s">
        <v>188</v>
      </c>
      <c r="G164" s="89">
        <v>-0.1</v>
      </c>
      <c r="H164">
        <f t="shared" si="1"/>
        <v>0.9</v>
      </c>
    </row>
    <row r="165" spans="3:8" ht="13.5">
      <c r="C165" s="91" t="s">
        <v>183</v>
      </c>
      <c r="D165" s="87" t="s">
        <v>184</v>
      </c>
      <c r="E165" s="88" t="s">
        <v>8</v>
      </c>
      <c r="F165" s="86" t="s">
        <v>186</v>
      </c>
      <c r="G165" s="89">
        <v>0</v>
      </c>
      <c r="H165">
        <f t="shared" si="1"/>
        <v>1</v>
      </c>
    </row>
    <row r="166" spans="3:8" ht="13.5">
      <c r="C166" s="91" t="s">
        <v>183</v>
      </c>
      <c r="D166" s="87" t="s">
        <v>184</v>
      </c>
      <c r="E166" s="88" t="s">
        <v>9</v>
      </c>
      <c r="F166" s="86" t="s">
        <v>187</v>
      </c>
      <c r="G166" s="89">
        <v>0.1</v>
      </c>
      <c r="H166">
        <f t="shared" si="1"/>
        <v>1.1000000000000001</v>
      </c>
    </row>
    <row r="167" spans="3:8" ht="13.5">
      <c r="C167" s="91" t="s">
        <v>183</v>
      </c>
      <c r="D167" s="87" t="s">
        <v>184</v>
      </c>
      <c r="E167" s="88" t="s">
        <v>10</v>
      </c>
      <c r="F167" s="86" t="s">
        <v>185</v>
      </c>
      <c r="G167" s="89">
        <v>0.2</v>
      </c>
      <c r="H167">
        <f t="shared" si="1"/>
        <v>1.2</v>
      </c>
    </row>
    <row r="168" spans="3:8" ht="13.5">
      <c r="C168" s="91" t="s">
        <v>189</v>
      </c>
      <c r="D168" s="87" t="s">
        <v>190</v>
      </c>
      <c r="E168" s="88">
        <v>1</v>
      </c>
      <c r="F168" s="86" t="s">
        <v>191</v>
      </c>
      <c r="G168" s="89">
        <v>0</v>
      </c>
      <c r="H168">
        <f t="shared" si="1"/>
        <v>1</v>
      </c>
    </row>
    <row r="169" spans="3:8" ht="13.5">
      <c r="C169" s="91" t="s">
        <v>189</v>
      </c>
      <c r="D169" s="87" t="s">
        <v>190</v>
      </c>
      <c r="E169" s="88">
        <v>2</v>
      </c>
      <c r="F169" s="86" t="s">
        <v>192</v>
      </c>
      <c r="G169" s="89">
        <v>0.05</v>
      </c>
      <c r="H169">
        <f t="shared" si="1"/>
        <v>1.05</v>
      </c>
    </row>
    <row r="170" spans="3:8" ht="13.5">
      <c r="C170" s="91" t="s">
        <v>189</v>
      </c>
      <c r="D170" s="87" t="s">
        <v>190</v>
      </c>
      <c r="E170" s="88">
        <v>3</v>
      </c>
      <c r="F170" s="86" t="s">
        <v>193</v>
      </c>
      <c r="G170" s="89">
        <v>0.1</v>
      </c>
      <c r="H170">
        <f t="shared" si="1"/>
        <v>1.1000000000000001</v>
      </c>
    </row>
    <row r="171" spans="3:8" ht="13.5">
      <c r="C171" s="157" t="s">
        <v>189</v>
      </c>
      <c r="D171" s="93" t="s">
        <v>190</v>
      </c>
      <c r="E171" s="94" t="s">
        <v>88</v>
      </c>
      <c r="F171" s="92" t="s">
        <v>194</v>
      </c>
      <c r="G171" s="95">
        <v>0.15</v>
      </c>
      <c r="H171">
        <f t="shared" si="1"/>
        <v>1.1499999999999999</v>
      </c>
    </row>
    <row r="172" spans="3:8" ht="13.5">
      <c r="C172" s="157" t="s">
        <v>195</v>
      </c>
      <c r="D172" s="87" t="s">
        <v>196</v>
      </c>
      <c r="E172" s="88" t="s">
        <v>10</v>
      </c>
      <c r="F172" s="86" t="s">
        <v>197</v>
      </c>
      <c r="G172" s="89">
        <v>-0.1</v>
      </c>
      <c r="H172">
        <f t="shared" si="1"/>
        <v>0.9</v>
      </c>
    </row>
    <row r="173" spans="3:8" ht="13.5">
      <c r="C173" s="157" t="s">
        <v>195</v>
      </c>
      <c r="D173" s="87" t="s">
        <v>196</v>
      </c>
      <c r="E173" s="88" t="s">
        <v>9</v>
      </c>
      <c r="F173" s="86" t="s">
        <v>199</v>
      </c>
      <c r="G173" s="89">
        <v>0</v>
      </c>
      <c r="H173">
        <f t="shared" si="1"/>
        <v>1</v>
      </c>
    </row>
    <row r="174" spans="3:8" ht="13.5">
      <c r="C174" s="157" t="s">
        <v>195</v>
      </c>
      <c r="D174" s="87" t="s">
        <v>196</v>
      </c>
      <c r="E174" s="88" t="s">
        <v>8</v>
      </c>
      <c r="F174" s="86" t="s">
        <v>198</v>
      </c>
      <c r="G174" s="89">
        <v>0.1</v>
      </c>
      <c r="H174">
        <f t="shared" si="1"/>
        <v>1.1000000000000001</v>
      </c>
    </row>
    <row r="175" spans="3:8" ht="13.5">
      <c r="C175" s="157" t="s">
        <v>195</v>
      </c>
      <c r="D175" s="87" t="s">
        <v>196</v>
      </c>
      <c r="E175" s="94" t="s">
        <v>117</v>
      </c>
      <c r="F175" s="92" t="s">
        <v>200</v>
      </c>
      <c r="G175" s="95">
        <v>0.2</v>
      </c>
      <c r="H175">
        <f t="shared" si="1"/>
        <v>1.2</v>
      </c>
    </row>
    <row r="176" spans="3:8" ht="13.5">
      <c r="C176" s="92" t="s">
        <v>201</v>
      </c>
      <c r="D176" s="87" t="s">
        <v>202</v>
      </c>
      <c r="E176" s="88" t="s">
        <v>10</v>
      </c>
      <c r="F176" s="86" t="s">
        <v>203</v>
      </c>
      <c r="G176" s="89">
        <v>-0.05</v>
      </c>
      <c r="H176">
        <f t="shared" ref="H176:H191" si="2">1+(1*G176)</f>
        <v>0.95</v>
      </c>
    </row>
    <row r="177" spans="3:8" ht="13.5">
      <c r="C177" s="92" t="s">
        <v>201</v>
      </c>
      <c r="D177" s="87" t="s">
        <v>202</v>
      </c>
      <c r="E177" s="88" t="s">
        <v>9</v>
      </c>
      <c r="F177" s="86" t="s">
        <v>205</v>
      </c>
      <c r="G177" s="89">
        <v>0</v>
      </c>
      <c r="H177">
        <f t="shared" si="2"/>
        <v>1</v>
      </c>
    </row>
    <row r="178" spans="3:8" ht="13.5">
      <c r="C178" s="92" t="s">
        <v>201</v>
      </c>
      <c r="D178" s="87" t="s">
        <v>202</v>
      </c>
      <c r="E178" s="94" t="s">
        <v>8</v>
      </c>
      <c r="F178" s="92" t="s">
        <v>204</v>
      </c>
      <c r="G178" s="95">
        <v>0.05</v>
      </c>
      <c r="H178">
        <f t="shared" si="2"/>
        <v>1.05</v>
      </c>
    </row>
    <row r="179" spans="3:8" ht="13.5">
      <c r="C179" s="86" t="s">
        <v>201</v>
      </c>
      <c r="D179" s="87" t="s">
        <v>202</v>
      </c>
      <c r="E179" s="88" t="s">
        <v>117</v>
      </c>
      <c r="F179" s="86" t="s">
        <v>206</v>
      </c>
      <c r="G179" s="89">
        <v>0.1</v>
      </c>
      <c r="H179">
        <f t="shared" si="2"/>
        <v>1.1000000000000001</v>
      </c>
    </row>
    <row r="180" spans="3:8" ht="13.5">
      <c r="C180" s="96" t="s">
        <v>207</v>
      </c>
      <c r="D180" s="97" t="s">
        <v>208</v>
      </c>
      <c r="E180" s="98" t="s">
        <v>117</v>
      </c>
      <c r="F180" s="96" t="s">
        <v>212</v>
      </c>
      <c r="G180" s="99">
        <v>-0.1</v>
      </c>
      <c r="H180">
        <f t="shared" si="2"/>
        <v>0.9</v>
      </c>
    </row>
    <row r="181" spans="3:8" ht="13.5">
      <c r="C181" s="100" t="s">
        <v>207</v>
      </c>
      <c r="D181" s="101" t="s">
        <v>208</v>
      </c>
      <c r="E181" s="102" t="s">
        <v>8</v>
      </c>
      <c r="F181" s="100" t="s">
        <v>210</v>
      </c>
      <c r="G181" s="103">
        <v>-0.05</v>
      </c>
      <c r="H181">
        <f t="shared" si="2"/>
        <v>0.95</v>
      </c>
    </row>
    <row r="182" spans="3:8" ht="13.5">
      <c r="C182" s="100" t="s">
        <v>207</v>
      </c>
      <c r="D182" s="101" t="s">
        <v>208</v>
      </c>
      <c r="E182" s="102" t="s">
        <v>9</v>
      </c>
      <c r="F182" s="100" t="s">
        <v>211</v>
      </c>
      <c r="G182" s="103">
        <v>0</v>
      </c>
      <c r="H182">
        <f t="shared" si="2"/>
        <v>1</v>
      </c>
    </row>
    <row r="183" spans="3:8" ht="13.5">
      <c r="C183" s="104" t="s">
        <v>207</v>
      </c>
      <c r="D183" s="105" t="s">
        <v>208</v>
      </c>
      <c r="E183" s="106" t="s">
        <v>10</v>
      </c>
      <c r="F183" s="104" t="s">
        <v>209</v>
      </c>
      <c r="G183" s="107">
        <v>0.1</v>
      </c>
      <c r="H183">
        <f t="shared" si="2"/>
        <v>1.1000000000000001</v>
      </c>
    </row>
    <row r="184" spans="3:8" ht="13.5">
      <c r="C184" s="86" t="s">
        <v>213</v>
      </c>
      <c r="D184" s="87" t="s">
        <v>214</v>
      </c>
      <c r="E184" s="88" t="s">
        <v>10</v>
      </c>
      <c r="F184" s="86" t="s">
        <v>215</v>
      </c>
      <c r="G184" s="89">
        <v>-0.05</v>
      </c>
      <c r="H184">
        <f t="shared" si="2"/>
        <v>0.95</v>
      </c>
    </row>
    <row r="185" spans="3:8" ht="13.5">
      <c r="C185" s="86" t="s">
        <v>213</v>
      </c>
      <c r="D185" s="87" t="s">
        <v>214</v>
      </c>
      <c r="E185" s="88" t="s">
        <v>9</v>
      </c>
      <c r="F185" s="86" t="s">
        <v>217</v>
      </c>
      <c r="G185" s="89">
        <v>0</v>
      </c>
      <c r="H185">
        <f t="shared" si="2"/>
        <v>1</v>
      </c>
    </row>
    <row r="186" spans="3:8" ht="13.5">
      <c r="C186" s="86" t="s">
        <v>213</v>
      </c>
      <c r="D186" s="87" t="s">
        <v>214</v>
      </c>
      <c r="E186" s="88" t="s">
        <v>8</v>
      </c>
      <c r="F186" s="86" t="s">
        <v>216</v>
      </c>
      <c r="G186" s="89">
        <v>0.1</v>
      </c>
      <c r="H186">
        <f t="shared" si="2"/>
        <v>1.1000000000000001</v>
      </c>
    </row>
    <row r="187" spans="3:8" ht="13.5">
      <c r="C187" s="86" t="s">
        <v>213</v>
      </c>
      <c r="D187" s="87" t="s">
        <v>214</v>
      </c>
      <c r="E187" s="88" t="s">
        <v>117</v>
      </c>
      <c r="F187" s="86" t="s">
        <v>218</v>
      </c>
      <c r="G187" s="89">
        <v>0.15</v>
      </c>
      <c r="H187">
        <f t="shared" si="2"/>
        <v>1.1499999999999999</v>
      </c>
    </row>
    <row r="188" spans="3:8" ht="13.5">
      <c r="C188" s="119" t="s">
        <v>219</v>
      </c>
      <c r="D188" s="87" t="s">
        <v>220</v>
      </c>
      <c r="E188" s="88" t="s">
        <v>10</v>
      </c>
      <c r="F188" s="86" t="s">
        <v>221</v>
      </c>
      <c r="G188" s="89">
        <v>0</v>
      </c>
      <c r="H188">
        <f t="shared" si="2"/>
        <v>1</v>
      </c>
    </row>
    <row r="189" spans="3:8" ht="13.5">
      <c r="C189" s="119" t="s">
        <v>219</v>
      </c>
      <c r="D189" s="87" t="s">
        <v>220</v>
      </c>
      <c r="E189" s="88" t="s">
        <v>9</v>
      </c>
      <c r="F189" s="86" t="s">
        <v>223</v>
      </c>
      <c r="G189" s="89">
        <v>0.05</v>
      </c>
      <c r="H189">
        <f t="shared" si="2"/>
        <v>1.05</v>
      </c>
    </row>
    <row r="190" spans="3:8" ht="13.5">
      <c r="C190" s="119" t="s">
        <v>219</v>
      </c>
      <c r="D190" s="87" t="s">
        <v>220</v>
      </c>
      <c r="E190" s="88" t="s">
        <v>8</v>
      </c>
      <c r="F190" s="86" t="s">
        <v>222</v>
      </c>
      <c r="G190" s="89">
        <v>0.1</v>
      </c>
      <c r="H190">
        <f t="shared" si="2"/>
        <v>1.1000000000000001</v>
      </c>
    </row>
    <row r="191" spans="3:8" ht="13.5">
      <c r="C191" s="120" t="s">
        <v>219</v>
      </c>
      <c r="D191" s="93" t="s">
        <v>220</v>
      </c>
      <c r="E191" s="94" t="s">
        <v>117</v>
      </c>
      <c r="F191" s="92" t="s">
        <v>224</v>
      </c>
      <c r="G191" s="95">
        <v>0.15</v>
      </c>
      <c r="H191">
        <f t="shared" si="2"/>
        <v>1.1499999999999999</v>
      </c>
    </row>
    <row r="203" spans="3:5" ht="40.5">
      <c r="C203" s="128" t="s">
        <v>269</v>
      </c>
      <c r="D203" s="128" t="s">
        <v>270</v>
      </c>
      <c r="E203" s="128" t="s">
        <v>271</v>
      </c>
    </row>
    <row r="204" spans="3:5" ht="13.5">
      <c r="C204" s="129" t="s">
        <v>8</v>
      </c>
      <c r="D204" s="130">
        <v>0.65</v>
      </c>
      <c r="E204" s="131">
        <f>1-D204</f>
        <v>0.35</v>
      </c>
    </row>
    <row r="205" spans="3:5" ht="13.5">
      <c r="C205" s="129" t="s">
        <v>272</v>
      </c>
      <c r="D205" s="130">
        <v>0.45</v>
      </c>
      <c r="E205" s="131">
        <f>1-D205</f>
        <v>0.55000000000000004</v>
      </c>
    </row>
    <row r="206" spans="3:5" ht="13.5">
      <c r="C206" s="129" t="s">
        <v>9</v>
      </c>
      <c r="D206" s="130">
        <v>0.55000000000000004</v>
      </c>
      <c r="E206" s="131">
        <f>1-D206</f>
        <v>0.44999999999999996</v>
      </c>
    </row>
    <row r="207" spans="3:5" ht="13.5">
      <c r="C207" s="129" t="s">
        <v>273</v>
      </c>
      <c r="D207" s="130">
        <v>0.45</v>
      </c>
      <c r="E207" s="131">
        <f>1-D207</f>
        <v>0.55000000000000004</v>
      </c>
    </row>
    <row r="212" spans="3:12" ht="15">
      <c r="C212" s="132" t="s">
        <v>274</v>
      </c>
      <c r="D212" s="132"/>
      <c r="E212" s="132"/>
      <c r="F212" s="77"/>
      <c r="G212" s="77"/>
      <c r="H212" s="77"/>
      <c r="I212" s="77"/>
      <c r="J212" s="77"/>
      <c r="K212" s="77"/>
      <c r="L212" s="77"/>
    </row>
    <row r="213" spans="3:12" ht="15">
      <c r="C213" s="133" t="s">
        <v>275</v>
      </c>
      <c r="D213" s="77"/>
      <c r="E213" s="293" t="s">
        <v>276</v>
      </c>
      <c r="F213" s="294"/>
      <c r="G213" s="134"/>
      <c r="H213" s="295" t="s">
        <v>277</v>
      </c>
      <c r="I213" s="296"/>
      <c r="J213" s="293" t="s">
        <v>278</v>
      </c>
      <c r="K213" s="297"/>
      <c r="L213" s="135"/>
    </row>
    <row r="214" spans="3:12" ht="15">
      <c r="C214" s="77"/>
      <c r="D214" s="77"/>
      <c r="E214" s="77"/>
      <c r="F214" s="77"/>
      <c r="G214" s="136"/>
      <c r="H214" s="132"/>
      <c r="I214" s="132"/>
      <c r="J214" s="132"/>
      <c r="K214" s="132"/>
      <c r="L214" s="132"/>
    </row>
    <row r="215" spans="3:12" ht="15">
      <c r="C215" s="133" t="s">
        <v>279</v>
      </c>
      <c r="D215" s="77"/>
      <c r="E215" s="293" t="s">
        <v>278</v>
      </c>
      <c r="F215" s="294"/>
      <c r="G215" s="134"/>
      <c r="H215" s="295" t="s">
        <v>280</v>
      </c>
      <c r="I215" s="296"/>
      <c r="J215" s="293" t="s">
        <v>278</v>
      </c>
      <c r="K215" s="297"/>
      <c r="L215" s="135"/>
    </row>
  </sheetData>
  <autoFilter ref="C111:G191"/>
  <sortState ref="C112:H191">
    <sortCondition ref="C112:C191"/>
    <sortCondition ref="H112:H191"/>
  </sortState>
  <mergeCells count="6">
    <mergeCell ref="E213:F213"/>
    <mergeCell ref="H213:I213"/>
    <mergeCell ref="J213:K213"/>
    <mergeCell ref="E215:F215"/>
    <mergeCell ref="H215:I215"/>
    <mergeCell ref="J215:K215"/>
  </mergeCells>
  <hyperlinks>
    <hyperlink ref="D20" r:id="rId1"/>
  </hyperlinks>
  <pageMargins left="0.7" right="0.7" top="0.75" bottom="0.75" header="0.3" footer="0.3"/>
  <pageSetup paperSize="9" orientation="portrait" horizontalDpi="0"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Matriz de Riesgos</vt:lpstr>
      <vt:lpstr>Relevamiento</vt:lpstr>
      <vt:lpstr>Sheet1</vt:lpstr>
      <vt:lpstr>'Matriz de Riesgos'!OLE_LINK1</vt:lpstr>
      <vt:lpstr>'Matriz de Riesgos'!Print_Area</vt:lpstr>
    </vt:vector>
  </TitlesOfParts>
  <Company>suris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&lt;Nombre de la Aplicación&gt;</dc:title>
  <dc:subject>Matriz de Riesgos</dc:subject>
  <dc:creator>Alejandro Sfrede</dc:creator>
  <dc:description>Versión: 0.0.0</dc:description>
  <cp:lastModifiedBy>Alejandro Sfrede</cp:lastModifiedBy>
  <cp:lastPrinted>2006-09-14T14:20:48Z</cp:lastPrinted>
  <dcterms:created xsi:type="dcterms:W3CDTF">2002-02-27T16:09:39Z</dcterms:created>
  <dcterms:modified xsi:type="dcterms:W3CDTF">2009-05-15T20:19:41Z</dcterms:modified>
</cp:coreProperties>
</file>