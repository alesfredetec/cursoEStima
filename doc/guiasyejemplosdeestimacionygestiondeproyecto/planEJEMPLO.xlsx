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Default Extension="emf" ContentType="image/x-emf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60" yWindow="60" windowWidth="11580" windowHeight="8580" firstSheet="6" activeTab="8"/>
  </bookViews>
  <sheets>
    <sheet name="BackLog" sheetId="1" r:id="rId1"/>
    <sheet name="BackLog Riegos " sheetId="2" r:id="rId2"/>
    <sheet name="Resumen Sprints" sheetId="3" r:id="rId3"/>
    <sheet name="Sprint1 " sheetId="4" r:id="rId4"/>
    <sheet name="Sheet2" sheetId="8" r:id="rId5"/>
    <sheet name="Burn Down Sprint 1" sheetId="5" r:id="rId6"/>
    <sheet name="COSTOS Sprint " sheetId="10" r:id="rId7"/>
    <sheet name="Resumen" sheetId="6" r:id="rId8"/>
    <sheet name="analisiscostos 2" sheetId="12" r:id="rId9"/>
    <sheet name="analisiscostos1" sheetId="11" state="hidden" r:id="rId10"/>
    <sheet name="Sheet3" sheetId="9" r:id="rId11"/>
    <sheet name="Sheet1" sheetId="7" r:id="rId12"/>
  </sheets>
  <definedNames>
    <definedName name="hsdiariasdisponibles">'Sprint1 '!$AM$81</definedName>
    <definedName name="OLE_LINK1" localSheetId="7">Resumen!$B$2</definedName>
    <definedName name="recursos1">'Sprint1 '!$AK$67:$AN$80</definedName>
    <definedName name="recursos2">'Sprint1 '!$AK$68:$AN$80</definedName>
    <definedName name="Z_E581961F_3841_49B1_99AD_716C95AC511A_.wvu.Cols" localSheetId="0" hidden="1">BackLog!$E:$E,BackLog!$H:$H</definedName>
    <definedName name="Z_E581961F_3841_49B1_99AD_716C95AC511A_.wvu.Cols" localSheetId="1" hidden="1">'BackLog Riegos '!$G:$J</definedName>
    <definedName name="Z_E581961F_3841_49B1_99AD_716C95AC511A_.wvu.Cols" localSheetId="7" hidden="1">Resumen!$H:$I</definedName>
    <definedName name="Z_E581961F_3841_49B1_99AD_716C95AC511A_.wvu.Cols" localSheetId="2" hidden="1">'Resumen Sprints'!$D:$G</definedName>
    <definedName name="Z_E581961F_3841_49B1_99AD_716C95AC511A_.wvu.Rows" localSheetId="2" hidden="1">'Resumen Sprints'!$16:$16</definedName>
  </definedNames>
  <calcPr calcId="125725"/>
  <customWorkbookViews>
    <customWorkbookView name="alesfrede - Vista personalizada" guid="{E581961F-3841-49B1-99AD-716C95AC511A}" mergeInterval="0" personalView="1" maximized="1" windowWidth="1020" windowHeight="580" activeSheetId="4"/>
  </customWorkbookViews>
</workbook>
</file>

<file path=xl/calcChain.xml><?xml version="1.0" encoding="utf-8"?>
<calcChain xmlns="http://schemas.openxmlformats.org/spreadsheetml/2006/main">
  <c r="M80" i="12"/>
  <c r="M81"/>
  <c r="M82"/>
  <c r="M83"/>
  <c r="M84"/>
  <c r="M79"/>
  <c r="M78"/>
  <c r="L80"/>
  <c r="L81"/>
  <c r="L82"/>
  <c r="L79"/>
  <c r="J80"/>
  <c r="J81"/>
  <c r="J82"/>
  <c r="J79"/>
  <c r="I81"/>
  <c r="I80"/>
  <c r="J62"/>
  <c r="I62"/>
  <c r="H62"/>
  <c r="G49"/>
  <c r="G50"/>
  <c r="G51"/>
  <c r="G48"/>
  <c r="F48"/>
  <c r="M5"/>
  <c r="E32"/>
  <c r="E31"/>
  <c r="H32"/>
  <c r="H31"/>
  <c r="I31" s="1"/>
  <c r="N31" s="1"/>
  <c r="O31" s="1"/>
  <c r="P31" s="1"/>
  <c r="F31"/>
  <c r="F32"/>
  <c r="G20"/>
  <c r="E41"/>
  <c r="D41"/>
  <c r="L53"/>
  <c r="M53"/>
  <c r="D48"/>
  <c r="D49" s="1"/>
  <c r="D50" s="1"/>
  <c r="H30"/>
  <c r="H29"/>
  <c r="H28"/>
  <c r="M4"/>
  <c r="M29"/>
  <c r="M30"/>
  <c r="M28"/>
  <c r="M27"/>
  <c r="E29"/>
  <c r="F29"/>
  <c r="E30"/>
  <c r="F30"/>
  <c r="I30" s="1"/>
  <c r="D23"/>
  <c r="N53"/>
  <c r="N48"/>
  <c r="E33"/>
  <c r="E42"/>
  <c r="E28"/>
  <c r="E40" s="1"/>
  <c r="E43"/>
  <c r="E27"/>
  <c r="E39" s="1"/>
  <c r="D39"/>
  <c r="D40"/>
  <c r="D42"/>
  <c r="D43"/>
  <c r="F27"/>
  <c r="F28"/>
  <c r="F33"/>
  <c r="H33"/>
  <c r="H27"/>
  <c r="F44"/>
  <c r="E23"/>
  <c r="G22"/>
  <c r="H22" s="1"/>
  <c r="I22" s="1"/>
  <c r="G21"/>
  <c r="H21" s="1"/>
  <c r="I21" s="1"/>
  <c r="J21" s="1"/>
  <c r="H20"/>
  <c r="I20" s="1"/>
  <c r="G19"/>
  <c r="G23" s="1"/>
  <c r="L35"/>
  <c r="E27" i="11"/>
  <c r="E28"/>
  <c r="E29"/>
  <c r="E30"/>
  <c r="E31"/>
  <c r="D46"/>
  <c r="F42"/>
  <c r="M4"/>
  <c r="G19"/>
  <c r="G20"/>
  <c r="G21"/>
  <c r="G22"/>
  <c r="H22" s="1"/>
  <c r="I22" s="1"/>
  <c r="N23"/>
  <c r="H20"/>
  <c r="I20" s="1"/>
  <c r="H21"/>
  <c r="I21" s="1"/>
  <c r="E23"/>
  <c r="P41"/>
  <c r="P40"/>
  <c r="P39"/>
  <c r="P38"/>
  <c r="P37"/>
  <c r="N41"/>
  <c r="N40"/>
  <c r="N39"/>
  <c r="N38"/>
  <c r="N37"/>
  <c r="L41"/>
  <c r="L40"/>
  <c r="L39"/>
  <c r="L38"/>
  <c r="L37"/>
  <c r="J41"/>
  <c r="J40"/>
  <c r="J39"/>
  <c r="J38"/>
  <c r="J37"/>
  <c r="H38"/>
  <c r="H39"/>
  <c r="H40"/>
  <c r="H37"/>
  <c r="P42"/>
  <c r="N42"/>
  <c r="L42"/>
  <c r="J42"/>
  <c r="Q41"/>
  <c r="O40"/>
  <c r="K40"/>
  <c r="Q40"/>
  <c r="O39"/>
  <c r="O38"/>
  <c r="K38"/>
  <c r="Q38"/>
  <c r="O37"/>
  <c r="J32"/>
  <c r="L32"/>
  <c r="N32"/>
  <c r="P32"/>
  <c r="H31"/>
  <c r="H41" s="1"/>
  <c r="Q31"/>
  <c r="O30"/>
  <c r="Q29"/>
  <c r="O28"/>
  <c r="Q27"/>
  <c r="C38" i="4"/>
  <c r="C33" i="8" s="1"/>
  <c r="B49"/>
  <c r="G49" s="1"/>
  <c r="E21"/>
  <c r="E23"/>
  <c r="E24"/>
  <c r="E25"/>
  <c r="D26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D22"/>
  <c r="E22"/>
  <c r="B23"/>
  <c r="G23" s="1"/>
  <c r="B24"/>
  <c r="G24" s="1"/>
  <c r="B25"/>
  <c r="G25" s="1"/>
  <c r="B26"/>
  <c r="G26" s="1"/>
  <c r="B27"/>
  <c r="G27" s="1"/>
  <c r="B28"/>
  <c r="G28" s="1"/>
  <c r="B29"/>
  <c r="G29" s="1"/>
  <c r="B30"/>
  <c r="G30" s="1"/>
  <c r="B31"/>
  <c r="G31" s="1"/>
  <c r="B32"/>
  <c r="G32" s="1"/>
  <c r="B33"/>
  <c r="G33" s="1"/>
  <c r="B34"/>
  <c r="G34" s="1"/>
  <c r="B35"/>
  <c r="G35" s="1"/>
  <c r="B36"/>
  <c r="G36" s="1"/>
  <c r="B37"/>
  <c r="G37" s="1"/>
  <c r="B38"/>
  <c r="G38" s="1"/>
  <c r="B39"/>
  <c r="G39" s="1"/>
  <c r="B40"/>
  <c r="G40" s="1"/>
  <c r="B41"/>
  <c r="G41" s="1"/>
  <c r="B42"/>
  <c r="G42" s="1"/>
  <c r="B43"/>
  <c r="G43" s="1"/>
  <c r="B44"/>
  <c r="G44" s="1"/>
  <c r="B45"/>
  <c r="G45" s="1"/>
  <c r="B46"/>
  <c r="G46" s="1"/>
  <c r="B47"/>
  <c r="G47" s="1"/>
  <c r="B48"/>
  <c r="G48" s="1"/>
  <c r="B50"/>
  <c r="G50" s="1"/>
  <c r="B51"/>
  <c r="G51" s="1"/>
  <c r="B52"/>
  <c r="G52" s="1"/>
  <c r="B53"/>
  <c r="G53" s="1"/>
  <c r="B54"/>
  <c r="G54" s="1"/>
  <c r="B55"/>
  <c r="G55" s="1"/>
  <c r="B56"/>
  <c r="G56" s="1"/>
  <c r="B57"/>
  <c r="G57" s="1"/>
  <c r="B22"/>
  <c r="G22" s="1"/>
  <c r="A46" i="4"/>
  <c r="A41" i="8" s="1"/>
  <c r="A47" i="4"/>
  <c r="A42" i="8" s="1"/>
  <c r="A48" i="4"/>
  <c r="A43" i="8" s="1"/>
  <c r="A49" i="4"/>
  <c r="A44" i="8" s="1"/>
  <c r="A50" i="4"/>
  <c r="A45" i="8" s="1"/>
  <c r="A51" i="4"/>
  <c r="A46" i="8" s="1"/>
  <c r="A52" i="4"/>
  <c r="A47" i="8" s="1"/>
  <c r="A53" i="4"/>
  <c r="A48" i="8" s="1"/>
  <c r="A54" i="4"/>
  <c r="A49" i="8" s="1"/>
  <c r="A55" i="4"/>
  <c r="A50" i="8" s="1"/>
  <c r="A56" i="4"/>
  <c r="A51" i="8" s="1"/>
  <c r="A57" i="4"/>
  <c r="A52" i="8" s="1"/>
  <c r="A58" i="4"/>
  <c r="A53" i="8" s="1"/>
  <c r="A59" i="4"/>
  <c r="A54" i="8" s="1"/>
  <c r="A60" i="4"/>
  <c r="A55" i="8" s="1"/>
  <c r="A61" i="4"/>
  <c r="A56" i="8" s="1"/>
  <c r="F27" i="4"/>
  <c r="H27" s="1"/>
  <c r="I27" s="1"/>
  <c r="J27" s="1"/>
  <c r="K27" s="1"/>
  <c r="L27" s="1"/>
  <c r="M27" s="1"/>
  <c r="N27" s="1"/>
  <c r="O27" s="1"/>
  <c r="P27" s="1"/>
  <c r="Q27" s="1"/>
  <c r="R27" s="1"/>
  <c r="S27" s="1"/>
  <c r="T27" s="1"/>
  <c r="U27" s="1"/>
  <c r="V27" s="1"/>
  <c r="W27" s="1"/>
  <c r="F42" i="1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AM81" i="4"/>
  <c r="C26" s="1"/>
  <c r="A28"/>
  <c r="A23" i="8" s="1"/>
  <c r="A29" i="4"/>
  <c r="A24" i="8" s="1"/>
  <c r="A30" i="4"/>
  <c r="A25" i="8" s="1"/>
  <c r="A31" i="4"/>
  <c r="A26" i="8" s="1"/>
  <c r="A32" i="4"/>
  <c r="A27" i="8" s="1"/>
  <c r="A33" i="4"/>
  <c r="A28" i="8" s="1"/>
  <c r="A34" i="4"/>
  <c r="A29" i="8" s="1"/>
  <c r="A35" i="4"/>
  <c r="A30" i="8" s="1"/>
  <c r="A36" i="4"/>
  <c r="A31" i="8" s="1"/>
  <c r="A37" i="4"/>
  <c r="A32" i="8" s="1"/>
  <c r="A38" i="4"/>
  <c r="A33" i="8" s="1"/>
  <c r="A39" i="4"/>
  <c r="A34" i="8" s="1"/>
  <c r="A40" i="4"/>
  <c r="A35" i="8" s="1"/>
  <c r="A41" i="4"/>
  <c r="A36" i="8" s="1"/>
  <c r="A42" i="4"/>
  <c r="A37" i="8" s="1"/>
  <c r="A43" i="4"/>
  <c r="A38" i="8" s="1"/>
  <c r="A44" i="4"/>
  <c r="A39" i="8" s="1"/>
  <c r="A45" i="4"/>
  <c r="A40" i="8" s="1"/>
  <c r="A62" i="4"/>
  <c r="A57" i="8" s="1"/>
  <c r="A27" i="4"/>
  <c r="A22" i="8" s="1"/>
  <c r="C54" i="4"/>
  <c r="C49" i="8" s="1"/>
  <c r="C55" i="4"/>
  <c r="C50" i="8" s="1"/>
  <c r="C56" i="4"/>
  <c r="C51" i="8" s="1"/>
  <c r="C57" i="4"/>
  <c r="C52" i="8" s="1"/>
  <c r="C58" i="4"/>
  <c r="C53" i="8" s="1"/>
  <c r="F58" i="4"/>
  <c r="G58" s="1"/>
  <c r="H58" s="1"/>
  <c r="I58" s="1"/>
  <c r="J58" s="1"/>
  <c r="K58" s="1"/>
  <c r="L58" s="1"/>
  <c r="M58" s="1"/>
  <c r="N58" s="1"/>
  <c r="O58" s="1"/>
  <c r="P58" s="1"/>
  <c r="Q58" s="1"/>
  <c r="R58" s="1"/>
  <c r="S58" s="1"/>
  <c r="T58" s="1"/>
  <c r="U58" s="1"/>
  <c r="V58" s="1"/>
  <c r="W58" s="1"/>
  <c r="X58" s="1"/>
  <c r="Y58" s="1"/>
  <c r="Z58" s="1"/>
  <c r="C59"/>
  <c r="C54" i="8" s="1"/>
  <c r="F59" i="4"/>
  <c r="G59" s="1"/>
  <c r="H59" s="1"/>
  <c r="I59" s="1"/>
  <c r="J59" s="1"/>
  <c r="K59" s="1"/>
  <c r="L59" s="1"/>
  <c r="M59" s="1"/>
  <c r="N59" s="1"/>
  <c r="O59" s="1"/>
  <c r="P59" s="1"/>
  <c r="Q59" s="1"/>
  <c r="R59" s="1"/>
  <c r="S59" s="1"/>
  <c r="T59" s="1"/>
  <c r="U59" s="1"/>
  <c r="V59" s="1"/>
  <c r="W59" s="1"/>
  <c r="X59" s="1"/>
  <c r="Y59" s="1"/>
  <c r="Z59" s="1"/>
  <c r="C60"/>
  <c r="C55" i="8" s="1"/>
  <c r="F60" i="4"/>
  <c r="G60" s="1"/>
  <c r="H60" s="1"/>
  <c r="I60" s="1"/>
  <c r="J60" s="1"/>
  <c r="K60" s="1"/>
  <c r="L60" s="1"/>
  <c r="M60" s="1"/>
  <c r="N60" s="1"/>
  <c r="O60" s="1"/>
  <c r="P60" s="1"/>
  <c r="Q60" s="1"/>
  <c r="R60" s="1"/>
  <c r="S60" s="1"/>
  <c r="T60" s="1"/>
  <c r="U60" s="1"/>
  <c r="V60" s="1"/>
  <c r="W60" s="1"/>
  <c r="X60" s="1"/>
  <c r="Y60" s="1"/>
  <c r="Z60" s="1"/>
  <c r="C61"/>
  <c r="C56" i="8" s="1"/>
  <c r="F61" i="4"/>
  <c r="G61" s="1"/>
  <c r="H61" s="1"/>
  <c r="I61" s="1"/>
  <c r="J61" s="1"/>
  <c r="K61" s="1"/>
  <c r="L61" s="1"/>
  <c r="M61" s="1"/>
  <c r="N61" s="1"/>
  <c r="O61" s="1"/>
  <c r="P61" s="1"/>
  <c r="Q61" s="1"/>
  <c r="R61" s="1"/>
  <c r="S61" s="1"/>
  <c r="T61" s="1"/>
  <c r="U61" s="1"/>
  <c r="V61" s="1"/>
  <c r="W61" s="1"/>
  <c r="X61" s="1"/>
  <c r="Y61" s="1"/>
  <c r="Z61" s="1"/>
  <c r="C62"/>
  <c r="C57" i="8" s="1"/>
  <c r="F62" i="4"/>
  <c r="G62" s="1"/>
  <c r="H62" s="1"/>
  <c r="I62" s="1"/>
  <c r="J62" s="1"/>
  <c r="K62" s="1"/>
  <c r="L62" s="1"/>
  <c r="M62" s="1"/>
  <c r="N62" s="1"/>
  <c r="O62" s="1"/>
  <c r="P62" s="1"/>
  <c r="Q62" s="1"/>
  <c r="R62" s="1"/>
  <c r="S62" s="1"/>
  <c r="T62" s="1"/>
  <c r="U62" s="1"/>
  <c r="V62" s="1"/>
  <c r="W62" s="1"/>
  <c r="X62" s="1"/>
  <c r="Y62" s="1"/>
  <c r="Z62" s="1"/>
  <c r="D26" i="3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H52" s="1"/>
  <c r="I52" s="1"/>
  <c r="F54" i="4" s="1"/>
  <c r="G54" s="1"/>
  <c r="H54" s="1"/>
  <c r="I54" s="1"/>
  <c r="J54" s="1"/>
  <c r="K54" s="1"/>
  <c r="M54" s="1"/>
  <c r="N54" s="1"/>
  <c r="O54" s="1"/>
  <c r="P54" s="1"/>
  <c r="Q54" s="1"/>
  <c r="R54" s="1"/>
  <c r="S54" s="1"/>
  <c r="T54" s="1"/>
  <c r="U54" s="1"/>
  <c r="V54" s="1"/>
  <c r="W54" s="1"/>
  <c r="X54" s="1"/>
  <c r="Y54" s="1"/>
  <c r="D53" i="3"/>
  <c r="H53" s="1"/>
  <c r="I53" s="1"/>
  <c r="D54"/>
  <c r="D55"/>
  <c r="H55" s="1"/>
  <c r="I55" s="1"/>
  <c r="F57" i="4" s="1"/>
  <c r="G57" s="1"/>
  <c r="H57" s="1"/>
  <c r="I57" s="1"/>
  <c r="J57" s="1"/>
  <c r="K57" s="1"/>
  <c r="M57" s="1"/>
  <c r="N57" s="1"/>
  <c r="O57" s="1"/>
  <c r="P57" s="1"/>
  <c r="Q57" s="1"/>
  <c r="R57" s="1"/>
  <c r="S57" s="1"/>
  <c r="T57" s="1"/>
  <c r="U57" s="1"/>
  <c r="V57" s="1"/>
  <c r="W57" s="1"/>
  <c r="X57" s="1"/>
  <c r="Y57" s="1"/>
  <c r="G52" i="3"/>
  <c r="G53"/>
  <c r="G54"/>
  <c r="H54"/>
  <c r="I54" s="1"/>
  <c r="F56" i="4" s="1"/>
  <c r="F51" i="8" s="1"/>
  <c r="G55" i="3"/>
  <c r="D25"/>
  <c r="H25" s="1"/>
  <c r="I25" s="1"/>
  <c r="H26"/>
  <c r="I26" s="1"/>
  <c r="F28" i="4" s="1"/>
  <c r="F23" i="8" s="1"/>
  <c r="H28" i="3"/>
  <c r="I28" s="1"/>
  <c r="F25" i="8" s="1"/>
  <c r="H29" i="3"/>
  <c r="I29" s="1"/>
  <c r="F31" i="4" s="1"/>
  <c r="F26" i="8" s="1"/>
  <c r="H30" i="3"/>
  <c r="I30" s="1"/>
  <c r="F32" i="4" s="1"/>
  <c r="G32" s="1"/>
  <c r="J32" s="1"/>
  <c r="K32" s="1"/>
  <c r="L32" s="1"/>
  <c r="M32" s="1"/>
  <c r="N32" s="1"/>
  <c r="O32" s="1"/>
  <c r="P32" s="1"/>
  <c r="Q32" s="1"/>
  <c r="R32" s="1"/>
  <c r="S32" s="1"/>
  <c r="T32" s="1"/>
  <c r="U32" s="1"/>
  <c r="V32" s="1"/>
  <c r="W32" s="1"/>
  <c r="X32" s="1"/>
  <c r="Y32" s="1"/>
  <c r="H31" i="3"/>
  <c r="I31" s="1"/>
  <c r="F33" i="4" s="1"/>
  <c r="F28" i="8" s="1"/>
  <c r="H36" i="3"/>
  <c r="I36" s="1"/>
  <c r="F38" i="4" s="1"/>
  <c r="F33" i="8" s="1"/>
  <c r="H37" i="3"/>
  <c r="I37" s="1"/>
  <c r="F39" i="4" s="1"/>
  <c r="F34" i="8" s="1"/>
  <c r="H39" i="3"/>
  <c r="H41"/>
  <c r="I41" s="1"/>
  <c r="F43" i="4" s="1"/>
  <c r="F38" i="8" s="1"/>
  <c r="H42" i="3"/>
  <c r="I42" s="1"/>
  <c r="F44" i="4" s="1"/>
  <c r="G44" s="1"/>
  <c r="H44" s="1"/>
  <c r="I44" s="1"/>
  <c r="J44" s="1"/>
  <c r="M44" s="1"/>
  <c r="N44" s="1"/>
  <c r="O44" s="1"/>
  <c r="P44" s="1"/>
  <c r="Q44" s="1"/>
  <c r="R44" s="1"/>
  <c r="S44" s="1"/>
  <c r="T44" s="1"/>
  <c r="U44" s="1"/>
  <c r="V44" s="1"/>
  <c r="W44" s="1"/>
  <c r="X44" s="1"/>
  <c r="Y44" s="1"/>
  <c r="H44" i="3"/>
  <c r="I44" s="1"/>
  <c r="F46" i="4" s="1"/>
  <c r="F41" i="8" s="1"/>
  <c r="H47" i="3"/>
  <c r="H50"/>
  <c r="I50" s="1"/>
  <c r="F52" i="4" s="1"/>
  <c r="G52" s="1"/>
  <c r="H52" s="1"/>
  <c r="I52" s="1"/>
  <c r="J52" s="1"/>
  <c r="K52" s="1"/>
  <c r="L52" s="1"/>
  <c r="M52" s="1"/>
  <c r="N52" s="1"/>
  <c r="O52" s="1"/>
  <c r="P52" s="1"/>
  <c r="Q52" s="1"/>
  <c r="R52" s="1"/>
  <c r="S52" s="1"/>
  <c r="T52" s="1"/>
  <c r="U52" s="1"/>
  <c r="V52" s="1"/>
  <c r="W52" s="1"/>
  <c r="X52" s="1"/>
  <c r="Y52" s="1"/>
  <c r="Z52" s="1"/>
  <c r="V68"/>
  <c r="W68"/>
  <c r="X68"/>
  <c r="Y68"/>
  <c r="Z68"/>
  <c r="T68"/>
  <c r="U68"/>
  <c r="P68"/>
  <c r="R68"/>
  <c r="L68"/>
  <c r="N68"/>
  <c r="X18"/>
  <c r="Y18"/>
  <c r="Z18"/>
  <c r="D21" i="3"/>
  <c r="H21"/>
  <c r="I21" s="1"/>
  <c r="J21" s="1"/>
  <c r="K21" s="1"/>
  <c r="L21" s="1"/>
  <c r="M21" s="1"/>
  <c r="N21" s="1"/>
  <c r="O21" s="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D22"/>
  <c r="H22"/>
  <c r="I22" s="1"/>
  <c r="J22" s="1"/>
  <c r="K22" s="1"/>
  <c r="L22" s="1"/>
  <c r="M22" s="1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D20"/>
  <c r="H20" s="1"/>
  <c r="J14"/>
  <c r="K14"/>
  <c r="L14" s="1"/>
  <c r="W16"/>
  <c r="X16"/>
  <c r="Y16"/>
  <c r="Z16"/>
  <c r="K22" i="6"/>
  <c r="C53" i="4"/>
  <c r="C48" i="8" s="1"/>
  <c r="G25" i="3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C39" i="4"/>
  <c r="C34" i="8" s="1"/>
  <c r="C40" i="4"/>
  <c r="C35" i="8" s="1"/>
  <c r="C41" i="4"/>
  <c r="C36" i="8" s="1"/>
  <c r="C42" i="4"/>
  <c r="C37" i="8" s="1"/>
  <c r="C43" i="4"/>
  <c r="C38" i="8" s="1"/>
  <c r="C44" i="4"/>
  <c r="C39" i="8" s="1"/>
  <c r="C45" i="4"/>
  <c r="C40" i="8" s="1"/>
  <c r="C46" i="4"/>
  <c r="C41" i="8" s="1"/>
  <c r="C47" i="4"/>
  <c r="C42" i="8" s="1"/>
  <c r="C48" i="4"/>
  <c r="C43" i="8" s="1"/>
  <c r="C49" i="4"/>
  <c r="C44" i="8" s="1"/>
  <c r="C50" i="4"/>
  <c r="C45" i="8" s="1"/>
  <c r="C51" i="4"/>
  <c r="C46" i="8" s="1"/>
  <c r="C52" i="4"/>
  <c r="C47" i="8" s="1"/>
  <c r="G68" i="4"/>
  <c r="H68"/>
  <c r="I68"/>
  <c r="J68"/>
  <c r="K68"/>
  <c r="M68"/>
  <c r="O68"/>
  <c r="Q68"/>
  <c r="S68"/>
  <c r="C27"/>
  <c r="C22" i="8" s="1"/>
  <c r="C28" i="4"/>
  <c r="C23" i="8" s="1"/>
  <c r="C29" i="4"/>
  <c r="C24" i="8" s="1"/>
  <c r="C30" i="4"/>
  <c r="C25" i="8" s="1"/>
  <c r="C31" i="4"/>
  <c r="C26" i="8" s="1"/>
  <c r="C32" i="4"/>
  <c r="C27" i="8" s="1"/>
  <c r="C33" i="4"/>
  <c r="C28" i="8" s="1"/>
  <c r="C34" i="4"/>
  <c r="C29" i="8" s="1"/>
  <c r="C35" i="4"/>
  <c r="C30" i="8" s="1"/>
  <c r="C36" i="4"/>
  <c r="C31" i="8" s="1"/>
  <c r="C37" i="4"/>
  <c r="C32" i="8" s="1"/>
  <c r="I9" i="3"/>
  <c r="C9" i="4" s="1"/>
  <c r="D14" i="6"/>
  <c r="D15" s="1"/>
  <c r="J24" s="1"/>
  <c r="J25" s="1"/>
  <c r="J26" s="1"/>
  <c r="D19" i="3"/>
  <c r="H19"/>
  <c r="D23"/>
  <c r="H23"/>
  <c r="I23" s="1"/>
  <c r="I21" i="6"/>
  <c r="I25" s="1"/>
  <c r="I26" s="1"/>
  <c r="J21"/>
  <c r="J22"/>
  <c r="I22"/>
  <c r="I23"/>
  <c r="J23" s="1"/>
  <c r="G25"/>
  <c r="E36"/>
  <c r="F16" i="4"/>
  <c r="G16"/>
  <c r="H16"/>
  <c r="F68"/>
  <c r="I16" i="3"/>
  <c r="J16"/>
  <c r="K16"/>
  <c r="L16"/>
  <c r="M16"/>
  <c r="N16"/>
  <c r="O16"/>
  <c r="P16"/>
  <c r="Q16"/>
  <c r="R16"/>
  <c r="S16"/>
  <c r="T16"/>
  <c r="U16"/>
  <c r="V16"/>
  <c r="H15" i="1"/>
  <c r="H16"/>
  <c r="H17"/>
  <c r="H18"/>
  <c r="H19"/>
  <c r="H20"/>
  <c r="H21"/>
  <c r="H22"/>
  <c r="H23"/>
  <c r="I19" i="3"/>
  <c r="J19"/>
  <c r="K19"/>
  <c r="L19" s="1"/>
  <c r="M19" s="1"/>
  <c r="N19" s="1"/>
  <c r="O19" s="1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J31" i="12" l="1"/>
  <c r="L31"/>
  <c r="J30"/>
  <c r="I29"/>
  <c r="J29" s="1"/>
  <c r="N29"/>
  <c r="O29" s="1"/>
  <c r="P29" s="1"/>
  <c r="L29" s="1"/>
  <c r="N30"/>
  <c r="O30" s="1"/>
  <c r="P30" s="1"/>
  <c r="L30" s="1"/>
  <c r="L48"/>
  <c r="H34"/>
  <c r="J22"/>
  <c r="J19"/>
  <c r="J20"/>
  <c r="H19"/>
  <c r="F34"/>
  <c r="I33"/>
  <c r="I27"/>
  <c r="J27" s="1"/>
  <c r="I32"/>
  <c r="I28"/>
  <c r="N8"/>
  <c r="J35"/>
  <c r="G33" i="11"/>
  <c r="F33"/>
  <c r="D47"/>
  <c r="D48" s="1"/>
  <c r="G28"/>
  <c r="G29"/>
  <c r="G30"/>
  <c r="G31"/>
  <c r="G23"/>
  <c r="H19"/>
  <c r="I19" s="1"/>
  <c r="I23" s="1"/>
  <c r="D49" s="1"/>
  <c r="F28"/>
  <c r="F30"/>
  <c r="I31"/>
  <c r="I29"/>
  <c r="K27"/>
  <c r="K29"/>
  <c r="K31"/>
  <c r="M28"/>
  <c r="M30"/>
  <c r="O27"/>
  <c r="O29"/>
  <c r="O31"/>
  <c r="Q28"/>
  <c r="Q30"/>
  <c r="F27"/>
  <c r="F29"/>
  <c r="F31"/>
  <c r="I27"/>
  <c r="I30"/>
  <c r="I28"/>
  <c r="K28"/>
  <c r="K30"/>
  <c r="M27"/>
  <c r="M29"/>
  <c r="M31"/>
  <c r="H32"/>
  <c r="H42"/>
  <c r="I37"/>
  <c r="M37"/>
  <c r="Q37"/>
  <c r="I39"/>
  <c r="M39"/>
  <c r="Q39"/>
  <c r="K41"/>
  <c r="O41"/>
  <c r="O42" s="1"/>
  <c r="K37"/>
  <c r="I38"/>
  <c r="M38"/>
  <c r="K39"/>
  <c r="I40"/>
  <c r="M40"/>
  <c r="I41"/>
  <c r="M41"/>
  <c r="I26" i="8"/>
  <c r="J26" s="1"/>
  <c r="H51"/>
  <c r="H41"/>
  <c r="H23"/>
  <c r="F47"/>
  <c r="F49"/>
  <c r="H34"/>
  <c r="H33"/>
  <c r="H28"/>
  <c r="H26"/>
  <c r="H25"/>
  <c r="H38"/>
  <c r="F57"/>
  <c r="F53"/>
  <c r="F55"/>
  <c r="F39"/>
  <c r="F27"/>
  <c r="H49"/>
  <c r="F22"/>
  <c r="F56"/>
  <c r="F54"/>
  <c r="F52"/>
  <c r="G69"/>
  <c r="G46" i="4"/>
  <c r="H46" s="1"/>
  <c r="I46" s="1"/>
  <c r="J46" s="1"/>
  <c r="K46" s="1"/>
  <c r="M46" s="1"/>
  <c r="N46" s="1"/>
  <c r="O46" s="1"/>
  <c r="P46" s="1"/>
  <c r="Q46" s="1"/>
  <c r="R46" s="1"/>
  <c r="S46" s="1"/>
  <c r="T46" s="1"/>
  <c r="U46" s="1"/>
  <c r="V46" s="1"/>
  <c r="W46" s="1"/>
  <c r="X46" s="1"/>
  <c r="Y46" s="1"/>
  <c r="Z46" s="1"/>
  <c r="G43"/>
  <c r="H43" s="1"/>
  <c r="I43" s="1"/>
  <c r="J43" s="1"/>
  <c r="K43" s="1"/>
  <c r="M43" s="1"/>
  <c r="N43" s="1"/>
  <c r="O43" s="1"/>
  <c r="P43" s="1"/>
  <c r="Q43" s="1"/>
  <c r="R43" s="1"/>
  <c r="S43" s="1"/>
  <c r="T43" s="1"/>
  <c r="U43" s="1"/>
  <c r="V43" s="1"/>
  <c r="W43" s="1"/>
  <c r="X43" s="1"/>
  <c r="Y43" s="1"/>
  <c r="Z43" s="1"/>
  <c r="G39"/>
  <c r="H39" s="1"/>
  <c r="I39" s="1"/>
  <c r="J39" s="1"/>
  <c r="L39" s="1"/>
  <c r="M39" s="1"/>
  <c r="N39" s="1"/>
  <c r="O39" s="1"/>
  <c r="P39" s="1"/>
  <c r="Q39" s="1"/>
  <c r="R39" s="1"/>
  <c r="S39" s="1"/>
  <c r="T39" s="1"/>
  <c r="U39" s="1"/>
  <c r="V39" s="1"/>
  <c r="W39" s="1"/>
  <c r="X39" s="1"/>
  <c r="Y39" s="1"/>
  <c r="Z39" s="1"/>
  <c r="G33"/>
  <c r="J33" s="1"/>
  <c r="K33" s="1"/>
  <c r="L33" s="1"/>
  <c r="M33" s="1"/>
  <c r="N33" s="1"/>
  <c r="O33" s="1"/>
  <c r="P33" s="1"/>
  <c r="Q33" s="1"/>
  <c r="R33" s="1"/>
  <c r="S33" s="1"/>
  <c r="T33" s="1"/>
  <c r="U33" s="1"/>
  <c r="V33" s="1"/>
  <c r="W33" s="1"/>
  <c r="X33" s="1"/>
  <c r="Y33" s="1"/>
  <c r="Z33" s="1"/>
  <c r="Z32"/>
  <c r="Z54"/>
  <c r="G56"/>
  <c r="H56" s="1"/>
  <c r="I56" s="1"/>
  <c r="J56" s="1"/>
  <c r="K56" s="1"/>
  <c r="L56" s="1"/>
  <c r="M56" s="1"/>
  <c r="N56" s="1"/>
  <c r="O56" s="1"/>
  <c r="P56" s="1"/>
  <c r="Q56" s="1"/>
  <c r="R56" s="1"/>
  <c r="S56" s="1"/>
  <c r="T56" s="1"/>
  <c r="U56" s="1"/>
  <c r="V56" s="1"/>
  <c r="W56" s="1"/>
  <c r="X56" s="1"/>
  <c r="Y56" s="1"/>
  <c r="Z56" s="1"/>
  <c r="G38"/>
  <c r="H38" s="1"/>
  <c r="I38" s="1"/>
  <c r="L38" s="1"/>
  <c r="M38" s="1"/>
  <c r="N38" s="1"/>
  <c r="O38" s="1"/>
  <c r="P38" s="1"/>
  <c r="Q38" s="1"/>
  <c r="R38" s="1"/>
  <c r="S38" s="1"/>
  <c r="T38" s="1"/>
  <c r="U38" s="1"/>
  <c r="V38" s="1"/>
  <c r="W38" s="1"/>
  <c r="X38" s="1"/>
  <c r="Y38" s="1"/>
  <c r="Z38" s="1"/>
  <c r="G31"/>
  <c r="J31" s="1"/>
  <c r="L31" s="1"/>
  <c r="M31" s="1"/>
  <c r="N31" s="1"/>
  <c r="O31" s="1"/>
  <c r="P31" s="1"/>
  <c r="Q31" s="1"/>
  <c r="R31" s="1"/>
  <c r="S31" s="1"/>
  <c r="T31" s="1"/>
  <c r="U31" s="1"/>
  <c r="V31" s="1"/>
  <c r="W31" s="1"/>
  <c r="X31" s="1"/>
  <c r="Y31" s="1"/>
  <c r="Z31" s="1"/>
  <c r="G30"/>
  <c r="J30" s="1"/>
  <c r="K30" s="1"/>
  <c r="L30" s="1"/>
  <c r="M30" s="1"/>
  <c r="N30" s="1"/>
  <c r="O30" s="1"/>
  <c r="P30" s="1"/>
  <c r="Q30" s="1"/>
  <c r="R30" s="1"/>
  <c r="S30" s="1"/>
  <c r="T30" s="1"/>
  <c r="U30" s="1"/>
  <c r="V30" s="1"/>
  <c r="W30" s="1"/>
  <c r="X30" s="1"/>
  <c r="Y30" s="1"/>
  <c r="Z30" s="1"/>
  <c r="G28"/>
  <c r="I28" s="1"/>
  <c r="J28" s="1"/>
  <c r="K28" s="1"/>
  <c r="L28" s="1"/>
  <c r="M28" s="1"/>
  <c r="N28" s="1"/>
  <c r="O28" s="1"/>
  <c r="P28" s="1"/>
  <c r="Q28" s="1"/>
  <c r="R28" s="1"/>
  <c r="S28" s="1"/>
  <c r="T28" s="1"/>
  <c r="U28" s="1"/>
  <c r="V28" s="1"/>
  <c r="W28" s="1"/>
  <c r="X28" s="1"/>
  <c r="Y28" s="1"/>
  <c r="Z28" s="1"/>
  <c r="Z57"/>
  <c r="X27"/>
  <c r="Y27" s="1"/>
  <c r="Z27" s="1"/>
  <c r="D62"/>
  <c r="D57" i="8" s="1"/>
  <c r="B24" i="3"/>
  <c r="J42"/>
  <c r="Z44" i="4"/>
  <c r="H27" i="3"/>
  <c r="I27" s="1"/>
  <c r="F29" i="4" s="1"/>
  <c r="F24" i="8" s="1"/>
  <c r="J26" i="3"/>
  <c r="D61" i="4"/>
  <c r="D56" i="8" s="1"/>
  <c r="D60" i="4"/>
  <c r="D55" i="8" s="1"/>
  <c r="D59" i="4"/>
  <c r="D54" i="8" s="1"/>
  <c r="D58" i="4"/>
  <c r="D53" i="8" s="1"/>
  <c r="M14" i="3"/>
  <c r="I16" i="4"/>
  <c r="I20" i="3"/>
  <c r="J20" s="1"/>
  <c r="K20" s="1"/>
  <c r="L20" s="1"/>
  <c r="M20" s="1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H18"/>
  <c r="C21" i="6" s="1"/>
  <c r="J55" i="3"/>
  <c r="F55" i="4"/>
  <c r="J52" i="3"/>
  <c r="K25"/>
  <c r="J25"/>
  <c r="I24" i="6"/>
  <c r="H23"/>
  <c r="F23" s="1"/>
  <c r="O30" i="3"/>
  <c r="Q29"/>
  <c r="L25"/>
  <c r="L28"/>
  <c r="V36"/>
  <c r="W37"/>
  <c r="N31"/>
  <c r="H49"/>
  <c r="I49" s="1"/>
  <c r="F51" i="4" s="1"/>
  <c r="H51" i="3"/>
  <c r="I51" s="1"/>
  <c r="F53" i="4" s="1"/>
  <c r="F48" i="8" s="1"/>
  <c r="H48" i="3"/>
  <c r="I48" s="1"/>
  <c r="F50" i="4" s="1"/>
  <c r="F45" i="8" s="1"/>
  <c r="H46" i="3"/>
  <c r="I46" s="1"/>
  <c r="F48" i="4" s="1"/>
  <c r="F43" i="8" s="1"/>
  <c r="H45" i="3"/>
  <c r="I45" s="1"/>
  <c r="F47" i="4" s="1"/>
  <c r="F42" i="8" s="1"/>
  <c r="H43" i="3"/>
  <c r="I43" s="1"/>
  <c r="F45" i="4" s="1"/>
  <c r="F40" i="8" s="1"/>
  <c r="H40" i="3"/>
  <c r="I40" s="1"/>
  <c r="F42" i="4" s="1"/>
  <c r="F37" i="8" s="1"/>
  <c r="H38" i="3"/>
  <c r="I38" s="1"/>
  <c r="F40" i="4" s="1"/>
  <c r="F35" i="8" s="1"/>
  <c r="H35" i="3"/>
  <c r="I35" s="1"/>
  <c r="F37" i="4" s="1"/>
  <c r="F32" i="8" s="1"/>
  <c r="H34" i="3"/>
  <c r="I34" s="1"/>
  <c r="F36" i="4" s="1"/>
  <c r="F31" i="8" s="1"/>
  <c r="H33" i="3"/>
  <c r="I33" s="1"/>
  <c r="F35" i="4" s="1"/>
  <c r="F30" i="8" s="1"/>
  <c r="H32" i="3"/>
  <c r="I32" s="1"/>
  <c r="F34" i="4" s="1"/>
  <c r="F29" i="8" s="1"/>
  <c r="I47" i="3"/>
  <c r="F49" i="4" s="1"/>
  <c r="F44" i="8" s="1"/>
  <c r="C24" i="6"/>
  <c r="H24" s="1"/>
  <c r="F24" s="1"/>
  <c r="G24" i="3"/>
  <c r="I39"/>
  <c r="J23"/>
  <c r="I18"/>
  <c r="K44"/>
  <c r="J36"/>
  <c r="J28"/>
  <c r="K28"/>
  <c r="J50"/>
  <c r="J37"/>
  <c r="J30"/>
  <c r="N32" i="12" l="1"/>
  <c r="O32" s="1"/>
  <c r="P32" s="1"/>
  <c r="L32" s="1"/>
  <c r="F49"/>
  <c r="F50"/>
  <c r="K41" i="3"/>
  <c r="J31"/>
  <c r="J41"/>
  <c r="N28" i="12"/>
  <c r="O28" s="1"/>
  <c r="P28" s="1"/>
  <c r="L28" s="1"/>
  <c r="C25" i="4"/>
  <c r="F20"/>
  <c r="F22"/>
  <c r="J23" i="12"/>
  <c r="J33"/>
  <c r="N33"/>
  <c r="O33" s="1"/>
  <c r="P33" s="1"/>
  <c r="L33" s="1"/>
  <c r="N27"/>
  <c r="J32"/>
  <c r="J28"/>
  <c r="I34"/>
  <c r="L49" s="1"/>
  <c r="H23"/>
  <c r="I19"/>
  <c r="N8" i="11"/>
  <c r="G27"/>
  <c r="G32" s="1"/>
  <c r="Q32"/>
  <c r="H23"/>
  <c r="I32"/>
  <c r="O32"/>
  <c r="M32"/>
  <c r="F32"/>
  <c r="N11" s="1"/>
  <c r="K32"/>
  <c r="K42"/>
  <c r="M42"/>
  <c r="Q42"/>
  <c r="I42"/>
  <c r="H52" i="8"/>
  <c r="I56"/>
  <c r="I53"/>
  <c r="H37"/>
  <c r="H43"/>
  <c r="H22"/>
  <c r="I22"/>
  <c r="H27"/>
  <c r="H55"/>
  <c r="I55"/>
  <c r="H57"/>
  <c r="I57"/>
  <c r="J57" s="1"/>
  <c r="H47"/>
  <c r="J29" i="3"/>
  <c r="J54"/>
  <c r="J44"/>
  <c r="I54" i="8"/>
  <c r="G51" i="4"/>
  <c r="H51" s="1"/>
  <c r="I51" s="1"/>
  <c r="J51" s="1"/>
  <c r="K51" s="1"/>
  <c r="L51" s="1"/>
  <c r="M51" s="1"/>
  <c r="N51" s="1"/>
  <c r="O51" s="1"/>
  <c r="P51" s="1"/>
  <c r="Q51" s="1"/>
  <c r="R51" s="1"/>
  <c r="S51" s="1"/>
  <c r="T51" s="1"/>
  <c r="U51" s="1"/>
  <c r="V51" s="1"/>
  <c r="W51" s="1"/>
  <c r="X51" s="1"/>
  <c r="Y51" s="1"/>
  <c r="F46" i="8"/>
  <c r="J54"/>
  <c r="J53"/>
  <c r="H29"/>
  <c r="H31"/>
  <c r="H35"/>
  <c r="H40"/>
  <c r="G55" i="4"/>
  <c r="H55" s="1"/>
  <c r="I55" s="1"/>
  <c r="J55" s="1"/>
  <c r="K55" s="1"/>
  <c r="L55" s="1"/>
  <c r="M55" s="1"/>
  <c r="N55" s="1"/>
  <c r="O55" s="1"/>
  <c r="P55" s="1"/>
  <c r="Q55" s="1"/>
  <c r="R55" s="1"/>
  <c r="S55" s="1"/>
  <c r="T55" s="1"/>
  <c r="U55" s="1"/>
  <c r="V55" s="1"/>
  <c r="W55" s="1"/>
  <c r="X55" s="1"/>
  <c r="Y55" s="1"/>
  <c r="Z55" s="1"/>
  <c r="F50" i="8"/>
  <c r="J56"/>
  <c r="H56"/>
  <c r="J55"/>
  <c r="H44"/>
  <c r="H48"/>
  <c r="H54"/>
  <c r="H24"/>
  <c r="H30"/>
  <c r="H32"/>
  <c r="H39"/>
  <c r="H42"/>
  <c r="H45"/>
  <c r="H53"/>
  <c r="G34" i="4"/>
  <c r="J34" s="1"/>
  <c r="K34" s="1"/>
  <c r="L34" s="1"/>
  <c r="M34" s="1"/>
  <c r="N34" s="1"/>
  <c r="O34" s="1"/>
  <c r="P34" s="1"/>
  <c r="Q34" s="1"/>
  <c r="R34" s="1"/>
  <c r="S34" s="1"/>
  <c r="T34" s="1"/>
  <c r="U34" s="1"/>
  <c r="V34" s="1"/>
  <c r="W34" s="1"/>
  <c r="X34" s="1"/>
  <c r="Y34" s="1"/>
  <c r="Z34" s="1"/>
  <c r="G36"/>
  <c r="J36" s="1"/>
  <c r="K36" s="1"/>
  <c r="L36" s="1"/>
  <c r="M36" s="1"/>
  <c r="N36" s="1"/>
  <c r="O36" s="1"/>
  <c r="P36" s="1"/>
  <c r="Q36" s="1"/>
  <c r="R36" s="1"/>
  <c r="S36" s="1"/>
  <c r="T36" s="1"/>
  <c r="U36" s="1"/>
  <c r="V36" s="1"/>
  <c r="W36" s="1"/>
  <c r="X36" s="1"/>
  <c r="Y36" s="1"/>
  <c r="Z36" s="1"/>
  <c r="G40"/>
  <c r="G45"/>
  <c r="H45" s="1"/>
  <c r="I45" s="1"/>
  <c r="J45" s="1"/>
  <c r="K45" s="1"/>
  <c r="M45" s="1"/>
  <c r="N45" s="1"/>
  <c r="O45" s="1"/>
  <c r="P45" s="1"/>
  <c r="Q45" s="1"/>
  <c r="R45" s="1"/>
  <c r="S45" s="1"/>
  <c r="T45" s="1"/>
  <c r="U45" s="1"/>
  <c r="V45" s="1"/>
  <c r="W45" s="1"/>
  <c r="X45" s="1"/>
  <c r="Y45" s="1"/>
  <c r="Z45" s="1"/>
  <c r="G47"/>
  <c r="H47" s="1"/>
  <c r="I47" s="1"/>
  <c r="J47" s="1"/>
  <c r="K47" s="1"/>
  <c r="M47" s="1"/>
  <c r="N47" s="1"/>
  <c r="O47" s="1"/>
  <c r="P47" s="1"/>
  <c r="Q47" s="1"/>
  <c r="R47" s="1"/>
  <c r="S47" s="1"/>
  <c r="T47" s="1"/>
  <c r="U47" s="1"/>
  <c r="V47" s="1"/>
  <c r="W47" s="1"/>
  <c r="X47" s="1"/>
  <c r="Y47" s="1"/>
  <c r="Z47" s="1"/>
  <c r="G50"/>
  <c r="H50" s="1"/>
  <c r="I50" s="1"/>
  <c r="J50" s="1"/>
  <c r="K50" s="1"/>
  <c r="M50" s="1"/>
  <c r="N50" s="1"/>
  <c r="O50" s="1"/>
  <c r="P50" s="1"/>
  <c r="Q50" s="1"/>
  <c r="R50" s="1"/>
  <c r="S50" s="1"/>
  <c r="T50" s="1"/>
  <c r="U50" s="1"/>
  <c r="V50" s="1"/>
  <c r="W50" s="1"/>
  <c r="X50" s="1"/>
  <c r="Y50" s="1"/>
  <c r="Z50" s="1"/>
  <c r="G29"/>
  <c r="G49"/>
  <c r="H49" s="1"/>
  <c r="I49" s="1"/>
  <c r="J49" s="1"/>
  <c r="K49" s="1"/>
  <c r="M49" s="1"/>
  <c r="N49" s="1"/>
  <c r="O49" s="1"/>
  <c r="P49" s="1"/>
  <c r="Q49" s="1"/>
  <c r="R49" s="1"/>
  <c r="S49" s="1"/>
  <c r="T49" s="1"/>
  <c r="U49" s="1"/>
  <c r="V49" s="1"/>
  <c r="W49" s="1"/>
  <c r="X49" s="1"/>
  <c r="Y49" s="1"/>
  <c r="Z49" s="1"/>
  <c r="G35"/>
  <c r="J35" s="1"/>
  <c r="K35" s="1"/>
  <c r="L35" s="1"/>
  <c r="M35" s="1"/>
  <c r="N35" s="1"/>
  <c r="O35" s="1"/>
  <c r="P35" s="1"/>
  <c r="Q35" s="1"/>
  <c r="R35" s="1"/>
  <c r="S35" s="1"/>
  <c r="T35" s="1"/>
  <c r="U35" s="1"/>
  <c r="V35" s="1"/>
  <c r="W35" s="1"/>
  <c r="X35" s="1"/>
  <c r="Y35" s="1"/>
  <c r="Z35" s="1"/>
  <c r="G37"/>
  <c r="G42"/>
  <c r="H42" s="1"/>
  <c r="I42" s="1"/>
  <c r="J42" s="1"/>
  <c r="K42" s="1"/>
  <c r="M42" s="1"/>
  <c r="N42" s="1"/>
  <c r="O42" s="1"/>
  <c r="P42" s="1"/>
  <c r="Q42" s="1"/>
  <c r="R42" s="1"/>
  <c r="S42" s="1"/>
  <c r="T42" s="1"/>
  <c r="U42" s="1"/>
  <c r="V42" s="1"/>
  <c r="W42" s="1"/>
  <c r="X42" s="1"/>
  <c r="Y42" s="1"/>
  <c r="Z42" s="1"/>
  <c r="G48"/>
  <c r="H48" s="1"/>
  <c r="I48" s="1"/>
  <c r="J48" s="1"/>
  <c r="K48" s="1"/>
  <c r="M48" s="1"/>
  <c r="N48" s="1"/>
  <c r="O48" s="1"/>
  <c r="P48" s="1"/>
  <c r="Q48" s="1"/>
  <c r="R48" s="1"/>
  <c r="S48" s="1"/>
  <c r="T48" s="1"/>
  <c r="U48" s="1"/>
  <c r="V48" s="1"/>
  <c r="W48" s="1"/>
  <c r="X48" s="1"/>
  <c r="Y48" s="1"/>
  <c r="Z48" s="1"/>
  <c r="G53"/>
  <c r="H53" s="1"/>
  <c r="I53" s="1"/>
  <c r="J53" s="1"/>
  <c r="K53" s="1"/>
  <c r="M53" s="1"/>
  <c r="N53" s="1"/>
  <c r="O53" s="1"/>
  <c r="P53" s="1"/>
  <c r="Q53" s="1"/>
  <c r="R53" s="1"/>
  <c r="S53" s="1"/>
  <c r="T53" s="1"/>
  <c r="U53" s="1"/>
  <c r="V53" s="1"/>
  <c r="W53" s="1"/>
  <c r="X53" s="1"/>
  <c r="Y53" s="1"/>
  <c r="Z53" s="1"/>
  <c r="K42" i="3"/>
  <c r="K55"/>
  <c r="J16" i="4"/>
  <c r="N14" i="3"/>
  <c r="H24"/>
  <c r="H17" s="1"/>
  <c r="I24"/>
  <c r="I17" s="1"/>
  <c r="K54"/>
  <c r="K52"/>
  <c r="P30"/>
  <c r="J51"/>
  <c r="J34"/>
  <c r="J32"/>
  <c r="K26"/>
  <c r="R29"/>
  <c r="Q30"/>
  <c r="M25"/>
  <c r="M28"/>
  <c r="X37"/>
  <c r="W36"/>
  <c r="O31"/>
  <c r="J46"/>
  <c r="J45"/>
  <c r="J43"/>
  <c r="J47"/>
  <c r="F41" i="4"/>
  <c r="C22" i="6"/>
  <c r="L41" i="3"/>
  <c r="L42"/>
  <c r="K50"/>
  <c r="K29"/>
  <c r="K31"/>
  <c r="K32"/>
  <c r="K36"/>
  <c r="K23"/>
  <c r="J18"/>
  <c r="K30"/>
  <c r="K37"/>
  <c r="L44"/>
  <c r="K51" l="1"/>
  <c r="J40"/>
  <c r="O27" i="12"/>
  <c r="P27" s="1"/>
  <c r="L27" s="1"/>
  <c r="J34"/>
  <c r="E34" s="1"/>
  <c r="I23"/>
  <c r="M5" i="11"/>
  <c r="N9"/>
  <c r="N10" s="1"/>
  <c r="F34"/>
  <c r="E32"/>
  <c r="G34"/>
  <c r="G41" i="4"/>
  <c r="H41" s="1"/>
  <c r="I41" s="1"/>
  <c r="J41" s="1"/>
  <c r="K41" s="1"/>
  <c r="L41" s="1"/>
  <c r="M41" s="1"/>
  <c r="N41" s="1"/>
  <c r="O41" s="1"/>
  <c r="P41" s="1"/>
  <c r="Q41" s="1"/>
  <c r="R41" s="1"/>
  <c r="S41" s="1"/>
  <c r="T41" s="1"/>
  <c r="U41" s="1"/>
  <c r="V41" s="1"/>
  <c r="W41" s="1"/>
  <c r="X41" s="1"/>
  <c r="Y41" s="1"/>
  <c r="F36" i="8"/>
  <c r="H50"/>
  <c r="J22"/>
  <c r="H46"/>
  <c r="J48" i="3"/>
  <c r="J33"/>
  <c r="J35"/>
  <c r="J27"/>
  <c r="J38"/>
  <c r="J49"/>
  <c r="F26" i="4"/>
  <c r="Z41"/>
  <c r="L55" i="3"/>
  <c r="O14"/>
  <c r="K16" i="4"/>
  <c r="L54" i="3"/>
  <c r="J53"/>
  <c r="L52"/>
  <c r="K34"/>
  <c r="K33"/>
  <c r="N32"/>
  <c r="L26"/>
  <c r="R30"/>
  <c r="S29"/>
  <c r="N25"/>
  <c r="N28"/>
  <c r="X36"/>
  <c r="Y37"/>
  <c r="P31"/>
  <c r="K48"/>
  <c r="K45"/>
  <c r="K46"/>
  <c r="K43"/>
  <c r="K40"/>
  <c r="K47"/>
  <c r="C25" i="6"/>
  <c r="C26" s="1"/>
  <c r="H22"/>
  <c r="F22" s="1"/>
  <c r="L37" i="3"/>
  <c r="L23"/>
  <c r="K18"/>
  <c r="L51"/>
  <c r="M31"/>
  <c r="L31"/>
  <c r="L29"/>
  <c r="L50"/>
  <c r="M42"/>
  <c r="M41"/>
  <c r="M44"/>
  <c r="L30"/>
  <c r="L36"/>
  <c r="M32"/>
  <c r="L32"/>
  <c r="J36" i="12" l="1"/>
  <c r="N49"/>
  <c r="M50"/>
  <c r="N11"/>
  <c r="O34"/>
  <c r="M6" i="11"/>
  <c r="E46"/>
  <c r="E47"/>
  <c r="E49"/>
  <c r="E48"/>
  <c r="F24" i="4"/>
  <c r="F21"/>
  <c r="F21" i="8"/>
  <c r="H36"/>
  <c r="H69" s="1"/>
  <c r="F69"/>
  <c r="I40" i="4"/>
  <c r="K38" i="3"/>
  <c r="K27"/>
  <c r="K35"/>
  <c r="K49"/>
  <c r="L16" i="4"/>
  <c r="P14" i="3"/>
  <c r="M55"/>
  <c r="G26" i="4"/>
  <c r="G24" s="1"/>
  <c r="M54" i="3"/>
  <c r="H26" i="4"/>
  <c r="H24" s="1"/>
  <c r="K53" i="3"/>
  <c r="M52"/>
  <c r="L34"/>
  <c r="L33"/>
  <c r="O32"/>
  <c r="M26"/>
  <c r="T29"/>
  <c r="S30"/>
  <c r="O25"/>
  <c r="O28"/>
  <c r="Z37"/>
  <c r="E37" s="1"/>
  <c r="Y36"/>
  <c r="Q31"/>
  <c r="L48"/>
  <c r="L45"/>
  <c r="L46"/>
  <c r="L40"/>
  <c r="L43"/>
  <c r="L47"/>
  <c r="J39"/>
  <c r="F19" i="4"/>
  <c r="F18" s="1"/>
  <c r="F25"/>
  <c r="M36" i="3"/>
  <c r="N30"/>
  <c r="M30"/>
  <c r="N44"/>
  <c r="N41"/>
  <c r="N42"/>
  <c r="M50"/>
  <c r="M29"/>
  <c r="M51"/>
  <c r="M23"/>
  <c r="L18"/>
  <c r="M37"/>
  <c r="P34" i="12" l="1"/>
  <c r="E50" i="11"/>
  <c r="D50" s="1"/>
  <c r="F23" i="4"/>
  <c r="G21"/>
  <c r="H19"/>
  <c r="G69"/>
  <c r="G71" s="1"/>
  <c r="G19"/>
  <c r="G18" s="1"/>
  <c r="G63"/>
  <c r="H63" s="1"/>
  <c r="I63" s="1"/>
  <c r="J63" s="1"/>
  <c r="K63" s="1"/>
  <c r="L63" s="1"/>
  <c r="M63" s="1"/>
  <c r="N63" s="1"/>
  <c r="O63" s="1"/>
  <c r="P63" s="1"/>
  <c r="Q63" s="1"/>
  <c r="R63" s="1"/>
  <c r="S63" s="1"/>
  <c r="T63" s="1"/>
  <c r="U63" s="1"/>
  <c r="V63" s="1"/>
  <c r="W63" s="1"/>
  <c r="X63" s="1"/>
  <c r="Y63" s="1"/>
  <c r="Z63" s="1"/>
  <c r="D63" s="1"/>
  <c r="F41" i="1" s="1"/>
  <c r="J37" i="4"/>
  <c r="L35" i="3"/>
  <c r="J29" i="4"/>
  <c r="L27" i="3"/>
  <c r="J40" i="4"/>
  <c r="L38" i="3"/>
  <c r="L49"/>
  <c r="N55"/>
  <c r="J24"/>
  <c r="J17" s="1"/>
  <c r="Q14"/>
  <c r="M16" i="4"/>
  <c r="N54" i="3"/>
  <c r="L53"/>
  <c r="I26" i="4"/>
  <c r="I24" s="1"/>
  <c r="N52" i="3"/>
  <c r="M34"/>
  <c r="M33"/>
  <c r="P32"/>
  <c r="N26"/>
  <c r="T30"/>
  <c r="U29"/>
  <c r="P25"/>
  <c r="P28"/>
  <c r="Z36"/>
  <c r="E36" s="1"/>
  <c r="AA37"/>
  <c r="R31"/>
  <c r="M48"/>
  <c r="M46"/>
  <c r="M45"/>
  <c r="M40"/>
  <c r="M43"/>
  <c r="M47"/>
  <c r="K39"/>
  <c r="N37"/>
  <c r="N50"/>
  <c r="O42"/>
  <c r="O41"/>
  <c r="O44"/>
  <c r="N29"/>
  <c r="N23"/>
  <c r="M18"/>
  <c r="N51"/>
  <c r="N36"/>
  <c r="N34" i="12" l="1"/>
  <c r="N37" s="1"/>
  <c r="L40" s="1"/>
  <c r="F51"/>
  <c r="D51"/>
  <c r="L50"/>
  <c r="L34"/>
  <c r="H21" i="4"/>
  <c r="I21" s="1"/>
  <c r="G23"/>
  <c r="G22" s="1"/>
  <c r="H23"/>
  <c r="I19"/>
  <c r="M38" i="3"/>
  <c r="K29" i="4"/>
  <c r="M27" i="3"/>
  <c r="K37" i="4"/>
  <c r="M35" i="3"/>
  <c r="M49"/>
  <c r="O55"/>
  <c r="N16" i="4"/>
  <c r="R14" i="3"/>
  <c r="K24"/>
  <c r="K17" s="1"/>
  <c r="O54"/>
  <c r="M53"/>
  <c r="J26" i="4"/>
  <c r="J24" s="1"/>
  <c r="O52" i="3"/>
  <c r="N34"/>
  <c r="N33"/>
  <c r="Q32"/>
  <c r="O26"/>
  <c r="V29"/>
  <c r="U30"/>
  <c r="Q25"/>
  <c r="Q28"/>
  <c r="AA36"/>
  <c r="AB37"/>
  <c r="S31"/>
  <c r="N48"/>
  <c r="N45"/>
  <c r="N46"/>
  <c r="N43"/>
  <c r="N40"/>
  <c r="N47"/>
  <c r="H18" i="4"/>
  <c r="L39" i="3"/>
  <c r="L24" s="1"/>
  <c r="H69" i="4"/>
  <c r="O51" i="3"/>
  <c r="O23"/>
  <c r="N18"/>
  <c r="O29"/>
  <c r="O37"/>
  <c r="O36"/>
  <c r="P44"/>
  <c r="P41"/>
  <c r="P42"/>
  <c r="O50"/>
  <c r="M49" i="12" l="1"/>
  <c r="N50"/>
  <c r="E48"/>
  <c r="L36"/>
  <c r="N9"/>
  <c r="N10" s="1"/>
  <c r="H22" i="4"/>
  <c r="J21"/>
  <c r="I23"/>
  <c r="J19"/>
  <c r="L37"/>
  <c r="N35" i="3"/>
  <c r="L29" i="4"/>
  <c r="N27" i="3"/>
  <c r="N38"/>
  <c r="N49"/>
  <c r="S14"/>
  <c r="O16" i="4"/>
  <c r="P55" i="3"/>
  <c r="L17"/>
  <c r="P54"/>
  <c r="K26" i="4"/>
  <c r="K24" s="1"/>
  <c r="N53" i="3"/>
  <c r="P52"/>
  <c r="O34"/>
  <c r="O33"/>
  <c r="R32"/>
  <c r="P26"/>
  <c r="V30"/>
  <c r="W29"/>
  <c r="R25"/>
  <c r="R28"/>
  <c r="D39" i="4"/>
  <c r="AC37" i="3"/>
  <c r="AB36"/>
  <c r="T31"/>
  <c r="O48"/>
  <c r="O46"/>
  <c r="O45"/>
  <c r="O40"/>
  <c r="O43"/>
  <c r="O47"/>
  <c r="I18" i="4"/>
  <c r="M39" i="3"/>
  <c r="J69" i="4"/>
  <c r="I69"/>
  <c r="P50" i="3"/>
  <c r="Q42"/>
  <c r="Q41"/>
  <c r="Q44"/>
  <c r="P36"/>
  <c r="P37"/>
  <c r="P29"/>
  <c r="P23"/>
  <c r="O18"/>
  <c r="P51"/>
  <c r="E51" i="12" l="1"/>
  <c r="M6"/>
  <c r="E50"/>
  <c r="E49"/>
  <c r="I22" i="4"/>
  <c r="J23"/>
  <c r="K21"/>
  <c r="K19"/>
  <c r="F25" i="1"/>
  <c r="D34" i="8"/>
  <c r="M40" i="4"/>
  <c r="O38" i="3"/>
  <c r="M29" i="4"/>
  <c r="O27" i="3"/>
  <c r="M37" i="4"/>
  <c r="O35" i="3"/>
  <c r="O49"/>
  <c r="Q55"/>
  <c r="P16" i="4"/>
  <c r="T14" i="3"/>
  <c r="M24"/>
  <c r="M17" s="1"/>
  <c r="Q54"/>
  <c r="O53"/>
  <c r="L26" i="4"/>
  <c r="L24" s="1"/>
  <c r="Q52" i="3"/>
  <c r="P34"/>
  <c r="P33"/>
  <c r="S32"/>
  <c r="Q26"/>
  <c r="X29"/>
  <c r="W30"/>
  <c r="S25"/>
  <c r="S28"/>
  <c r="D38" i="4"/>
  <c r="AC36" i="3"/>
  <c r="U31"/>
  <c r="P48"/>
  <c r="P45"/>
  <c r="P46"/>
  <c r="P43"/>
  <c r="P40"/>
  <c r="P47"/>
  <c r="J18" i="4"/>
  <c r="N39" i="3"/>
  <c r="K69" i="4"/>
  <c r="Q37" i="3"/>
  <c r="Q36"/>
  <c r="Q51"/>
  <c r="Q23"/>
  <c r="P18"/>
  <c r="R44"/>
  <c r="R41"/>
  <c r="R42"/>
  <c r="Q50"/>
  <c r="J22" i="4" l="1"/>
  <c r="E52" i="12"/>
  <c r="D52" s="1"/>
  <c r="F52" s="1"/>
  <c r="I34" i="8"/>
  <c r="J34" s="1"/>
  <c r="L19" i="4"/>
  <c r="L21"/>
  <c r="K23"/>
  <c r="K22" s="1"/>
  <c r="F24" i="1"/>
  <c r="D33" i="8"/>
  <c r="I33" s="1"/>
  <c r="N37" i="4"/>
  <c r="P35" i="3"/>
  <c r="N29" i="4"/>
  <c r="P27" i="3"/>
  <c r="N40" i="4"/>
  <c r="P38" i="3"/>
  <c r="Z51" i="4"/>
  <c r="P49" i="3"/>
  <c r="R55"/>
  <c r="U14"/>
  <c r="Q16" i="4"/>
  <c r="N24" i="3"/>
  <c r="N17" s="1"/>
  <c r="R54"/>
  <c r="M26" i="4"/>
  <c r="P53" i="3"/>
  <c r="R52"/>
  <c r="Q34"/>
  <c r="Q33"/>
  <c r="T32"/>
  <c r="R26"/>
  <c r="X30"/>
  <c r="Y29"/>
  <c r="T25"/>
  <c r="T28"/>
  <c r="V31"/>
  <c r="Q48"/>
  <c r="Q46"/>
  <c r="Q45"/>
  <c r="Q40"/>
  <c r="Q43"/>
  <c r="Q47"/>
  <c r="K18" i="4"/>
  <c r="O39" i="3"/>
  <c r="O24" s="1"/>
  <c r="L69" i="4"/>
  <c r="R23" i="3"/>
  <c r="Q18"/>
  <c r="R51"/>
  <c r="R50"/>
  <c r="S41"/>
  <c r="S44"/>
  <c r="S42"/>
  <c r="R36"/>
  <c r="R37"/>
  <c r="M24" i="4" l="1"/>
  <c r="M19"/>
  <c r="J33" i="8"/>
  <c r="L23" i="4"/>
  <c r="L22" s="1"/>
  <c r="M22" s="1"/>
  <c r="M21"/>
  <c r="M23" s="1"/>
  <c r="O40"/>
  <c r="Q38" i="3"/>
  <c r="O29" i="4"/>
  <c r="Q27" i="3"/>
  <c r="O37" i="4"/>
  <c r="Q35" i="3"/>
  <c r="Q49"/>
  <c r="S55"/>
  <c r="R16" i="4"/>
  <c r="V14" i="3"/>
  <c r="O17"/>
  <c r="S54"/>
  <c r="Q53"/>
  <c r="N26" i="4"/>
  <c r="S52" i="3"/>
  <c r="R34"/>
  <c r="R33"/>
  <c r="U32"/>
  <c r="S26"/>
  <c r="Z29"/>
  <c r="E29" s="1"/>
  <c r="Y30"/>
  <c r="U25"/>
  <c r="U28"/>
  <c r="W31"/>
  <c r="R48"/>
  <c r="R45"/>
  <c r="R46"/>
  <c r="R43"/>
  <c r="R40"/>
  <c r="R47"/>
  <c r="P39"/>
  <c r="M69" i="4"/>
  <c r="L18"/>
  <c r="S37" i="3"/>
  <c r="S36"/>
  <c r="T44"/>
  <c r="T41"/>
  <c r="S50"/>
  <c r="S51"/>
  <c r="R18"/>
  <c r="S23"/>
  <c r="T42"/>
  <c r="N24" i="4" l="1"/>
  <c r="N19"/>
  <c r="N21"/>
  <c r="N23" s="1"/>
  <c r="N22" s="1"/>
  <c r="P37"/>
  <c r="R35" i="3"/>
  <c r="P29" i="4"/>
  <c r="R27" i="3"/>
  <c r="P40" i="4"/>
  <c r="R38" i="3"/>
  <c r="R49"/>
  <c r="T55"/>
  <c r="W14"/>
  <c r="S16" i="4"/>
  <c r="P24" i="3"/>
  <c r="P17" s="1"/>
  <c r="T54"/>
  <c r="O26" i="4"/>
  <c r="R53" i="3"/>
  <c r="T52"/>
  <c r="S34"/>
  <c r="S33"/>
  <c r="V32"/>
  <c r="T26"/>
  <c r="Z30"/>
  <c r="E30" s="1"/>
  <c r="AA29"/>
  <c r="V25"/>
  <c r="V28"/>
  <c r="X31"/>
  <c r="S48"/>
  <c r="S46"/>
  <c r="S45"/>
  <c r="S40"/>
  <c r="S43"/>
  <c r="S47"/>
  <c r="Q39"/>
  <c r="N69" i="4"/>
  <c r="M18"/>
  <c r="U42" i="3"/>
  <c r="T23"/>
  <c r="S18"/>
  <c r="T51"/>
  <c r="U41"/>
  <c r="T36"/>
  <c r="T50"/>
  <c r="U44"/>
  <c r="T37"/>
  <c r="O21" i="4" l="1"/>
  <c r="Q40"/>
  <c r="S38" i="3"/>
  <c r="Q29" i="4"/>
  <c r="S27" i="3"/>
  <c r="Q37" i="4"/>
  <c r="S35" i="3"/>
  <c r="S49"/>
  <c r="X14"/>
  <c r="T16" i="4"/>
  <c r="U55" i="3"/>
  <c r="Q24"/>
  <c r="Q17" s="1"/>
  <c r="U54"/>
  <c r="S53"/>
  <c r="P26" i="4"/>
  <c r="U52" i="3"/>
  <c r="T34"/>
  <c r="T33"/>
  <c r="W32"/>
  <c r="U26"/>
  <c r="AB29"/>
  <c r="AA30"/>
  <c r="W25"/>
  <c r="W28"/>
  <c r="Y31"/>
  <c r="T48"/>
  <c r="T45"/>
  <c r="T46"/>
  <c r="T43"/>
  <c r="T40"/>
  <c r="T47"/>
  <c r="N18" i="4"/>
  <c r="R39" i="3"/>
  <c r="O18" i="4"/>
  <c r="U37" i="3"/>
  <c r="U50"/>
  <c r="U51"/>
  <c r="T18"/>
  <c r="U23"/>
  <c r="V42"/>
  <c r="V44"/>
  <c r="U36"/>
  <c r="V41"/>
  <c r="P21" i="4" l="1"/>
  <c r="R37"/>
  <c r="T35" i="3"/>
  <c r="R29" i="4"/>
  <c r="T27" i="3"/>
  <c r="R40" i="4"/>
  <c r="T38" i="3"/>
  <c r="T49"/>
  <c r="V55"/>
  <c r="U16" i="4"/>
  <c r="Y14" i="3"/>
  <c r="R24"/>
  <c r="R17" s="1"/>
  <c r="V54"/>
  <c r="Q26" i="4"/>
  <c r="T53" i="3"/>
  <c r="V52"/>
  <c r="U34"/>
  <c r="U33"/>
  <c r="X32"/>
  <c r="V26"/>
  <c r="AB30"/>
  <c r="D31" i="4"/>
  <c r="F17" i="1" s="1"/>
  <c r="AC29" i="3"/>
  <c r="X25"/>
  <c r="X28"/>
  <c r="Z31"/>
  <c r="E31" s="1"/>
  <c r="U48"/>
  <c r="U46"/>
  <c r="U45"/>
  <c r="U40"/>
  <c r="U43"/>
  <c r="U47"/>
  <c r="O69" i="4"/>
  <c r="S39" i="3"/>
  <c r="S24" s="1"/>
  <c r="P18" i="4"/>
  <c r="W44" i="3"/>
  <c r="W42"/>
  <c r="V50"/>
  <c r="W41"/>
  <c r="V23"/>
  <c r="U18"/>
  <c r="V51"/>
  <c r="V37"/>
  <c r="Q21" i="4" l="1"/>
  <c r="S40"/>
  <c r="U38" i="3"/>
  <c r="S29" i="4"/>
  <c r="U27" i="3"/>
  <c r="S37" i="4"/>
  <c r="U35" i="3"/>
  <c r="U49"/>
  <c r="W55"/>
  <c r="V16" i="4"/>
  <c r="Z14" i="3"/>
  <c r="S17"/>
  <c r="W54"/>
  <c r="U53"/>
  <c r="R26" i="4"/>
  <c r="W52" i="3"/>
  <c r="V34"/>
  <c r="V33"/>
  <c r="Y32"/>
  <c r="W26"/>
  <c r="D32" i="4"/>
  <c r="AC30" i="3"/>
  <c r="Y25"/>
  <c r="Y28"/>
  <c r="AA31"/>
  <c r="V48"/>
  <c r="V45"/>
  <c r="V46"/>
  <c r="V43"/>
  <c r="V40"/>
  <c r="V47"/>
  <c r="T39"/>
  <c r="Q18" i="4"/>
  <c r="W51" i="3"/>
  <c r="W23"/>
  <c r="V18"/>
  <c r="X42"/>
  <c r="X44"/>
  <c r="X41"/>
  <c r="W50"/>
  <c r="R21" i="4" l="1"/>
  <c r="F18" i="1"/>
  <c r="D27" i="8"/>
  <c r="I27" s="1"/>
  <c r="T37" i="4"/>
  <c r="V35" i="3"/>
  <c r="T29" i="4"/>
  <c r="V27" i="3"/>
  <c r="T40" i="4"/>
  <c r="V38" i="3"/>
  <c r="V49"/>
  <c r="X55"/>
  <c r="AA14"/>
  <c r="W16" i="4"/>
  <c r="T24" i="3"/>
  <c r="T17" s="1"/>
  <c r="X54"/>
  <c r="S26" i="4"/>
  <c r="V53" i="3"/>
  <c r="X52"/>
  <c r="W34"/>
  <c r="W33"/>
  <c r="Z32"/>
  <c r="E32" s="1"/>
  <c r="X26"/>
  <c r="Z25"/>
  <c r="E25" s="1"/>
  <c r="Z28"/>
  <c r="E28" s="1"/>
  <c r="AB31"/>
  <c r="W48"/>
  <c r="W46"/>
  <c r="W45"/>
  <c r="W40"/>
  <c r="W43"/>
  <c r="W47"/>
  <c r="U39"/>
  <c r="R18" i="4"/>
  <c r="Y41" i="3"/>
  <c r="Y42"/>
  <c r="X23"/>
  <c r="W18"/>
  <c r="X50"/>
  <c r="Y44"/>
  <c r="X51"/>
  <c r="S21" i="4" l="1"/>
  <c r="J27" i="8"/>
  <c r="U40" i="4"/>
  <c r="W38" i="3"/>
  <c r="U29" i="4"/>
  <c r="W27" i="3"/>
  <c r="U37" i="4"/>
  <c r="W35" i="3"/>
  <c r="W49"/>
  <c r="AB14"/>
  <c r="X16" i="4"/>
  <c r="Y55" i="3"/>
  <c r="U24"/>
  <c r="U17" s="1"/>
  <c r="Y54"/>
  <c r="W53"/>
  <c r="T26" i="4"/>
  <c r="Y52" i="3"/>
  <c r="X34"/>
  <c r="X33"/>
  <c r="AA32"/>
  <c r="Y26"/>
  <c r="AA25"/>
  <c r="AA28"/>
  <c r="D33" i="4"/>
  <c r="AC31" i="3"/>
  <c r="X48"/>
  <c r="X46"/>
  <c r="X45"/>
  <c r="X40"/>
  <c r="X43"/>
  <c r="X47"/>
  <c r="V39"/>
  <c r="S18" i="4"/>
  <c r="Z44" i="3"/>
  <c r="E44" s="1"/>
  <c r="Z42"/>
  <c r="E42" s="1"/>
  <c r="Y51"/>
  <c r="Y50"/>
  <c r="X18"/>
  <c r="Y23"/>
  <c r="Z41"/>
  <c r="E41" s="1"/>
  <c r="T21" i="4" l="1"/>
  <c r="F19" i="1"/>
  <c r="D28" i="8"/>
  <c r="I28" s="1"/>
  <c r="V37" i="4"/>
  <c r="X35" i="3"/>
  <c r="V29" i="4"/>
  <c r="X27" i="3"/>
  <c r="V40" i="4"/>
  <c r="X38" i="3"/>
  <c r="X49"/>
  <c r="Z55"/>
  <c r="E55" s="1"/>
  <c r="AC14"/>
  <c r="Z16" i="4" s="1"/>
  <c r="Y16"/>
  <c r="V24" i="3"/>
  <c r="V17" s="1"/>
  <c r="Z54"/>
  <c r="E54" s="1"/>
  <c r="U26" i="4"/>
  <c r="X53" i="3"/>
  <c r="Z52"/>
  <c r="E52" s="1"/>
  <c r="Y34"/>
  <c r="Y33"/>
  <c r="AB32"/>
  <c r="Z26"/>
  <c r="E26" s="1"/>
  <c r="AB25"/>
  <c r="AB28"/>
  <c r="Y48"/>
  <c r="Y45"/>
  <c r="Y46"/>
  <c r="Y43"/>
  <c r="Y40"/>
  <c r="Y47"/>
  <c r="W39"/>
  <c r="T18" i="4"/>
  <c r="AA41" i="3"/>
  <c r="Z23"/>
  <c r="Y18"/>
  <c r="Z50"/>
  <c r="E50" s="1"/>
  <c r="Z51"/>
  <c r="E51" s="1"/>
  <c r="AA42"/>
  <c r="AA44"/>
  <c r="U21" i="4" l="1"/>
  <c r="J28" i="8"/>
  <c r="W40" i="4"/>
  <c r="Y38" i="3"/>
  <c r="W29" i="4"/>
  <c r="Y27" i="3"/>
  <c r="W37" i="4"/>
  <c r="Y35" i="3"/>
  <c r="Y49"/>
  <c r="AA55"/>
  <c r="W24"/>
  <c r="W17" s="1"/>
  <c r="AA54"/>
  <c r="Y53"/>
  <c r="V26" i="4"/>
  <c r="AA52" i="3"/>
  <c r="Z34"/>
  <c r="E34" s="1"/>
  <c r="Z33"/>
  <c r="E33" s="1"/>
  <c r="D34" i="4"/>
  <c r="AC32" i="3"/>
  <c r="AA26"/>
  <c r="D27" i="4"/>
  <c r="AC25" i="3"/>
  <c r="D30" i="4"/>
  <c r="AC28" i="3"/>
  <c r="Z48"/>
  <c r="E48" s="1"/>
  <c r="Z46"/>
  <c r="E46" s="1"/>
  <c r="Z45"/>
  <c r="E45" s="1"/>
  <c r="Z40"/>
  <c r="E40" s="1"/>
  <c r="Z43"/>
  <c r="E43" s="1"/>
  <c r="Z47"/>
  <c r="E47" s="1"/>
  <c r="E24" i="6" s="1"/>
  <c r="D24" s="1"/>
  <c r="X39" i="3"/>
  <c r="U18" i="4"/>
  <c r="AB42" i="3"/>
  <c r="AA51"/>
  <c r="AA23"/>
  <c r="Z18"/>
  <c r="E18" s="1"/>
  <c r="E21" i="6" s="1"/>
  <c r="AB44" i="3"/>
  <c r="AA50"/>
  <c r="AB41"/>
  <c r="V21" i="4" l="1"/>
  <c r="F16" i="1"/>
  <c r="D25" i="8"/>
  <c r="I25" s="1"/>
  <c r="J25" s="1"/>
  <c r="F20" i="1"/>
  <c r="D29" i="8"/>
  <c r="I29" s="1"/>
  <c r="X37" i="4"/>
  <c r="Z35" i="3"/>
  <c r="E35" s="1"/>
  <c r="X29" i="4"/>
  <c r="Z27" i="3"/>
  <c r="E27" s="1"/>
  <c r="X40" i="4"/>
  <c r="Z38" i="3"/>
  <c r="E38" s="1"/>
  <c r="E23" i="6" s="1"/>
  <c r="D23" s="1"/>
  <c r="Z49" i="3"/>
  <c r="E49" s="1"/>
  <c r="AB55"/>
  <c r="X24"/>
  <c r="X17" s="1"/>
  <c r="AB54"/>
  <c r="W26" i="4"/>
  <c r="Z53" i="3"/>
  <c r="AB52"/>
  <c r="AA34"/>
  <c r="AA33"/>
  <c r="AB26"/>
  <c r="AA48"/>
  <c r="AA46"/>
  <c r="AA45"/>
  <c r="AA43"/>
  <c r="AA40"/>
  <c r="AA47"/>
  <c r="Y39"/>
  <c r="V18" i="4"/>
  <c r="D21" i="6"/>
  <c r="AB51" i="3"/>
  <c r="D43" i="4"/>
  <c r="AC41" i="3"/>
  <c r="AB50"/>
  <c r="D46" i="4"/>
  <c r="D41" i="8" s="1"/>
  <c r="AC44" i="3"/>
  <c r="AB23"/>
  <c r="AA18"/>
  <c r="D44" i="4"/>
  <c r="AC42" i="3"/>
  <c r="I41" i="8" l="1"/>
  <c r="J41" s="1"/>
  <c r="W21" i="4"/>
  <c r="F30" i="1"/>
  <c r="D39" i="8"/>
  <c r="J29"/>
  <c r="F29" i="1"/>
  <c r="D38" i="8"/>
  <c r="Y40" i="4"/>
  <c r="AA38" i="3"/>
  <c r="Y29" i="4"/>
  <c r="AA27" i="3"/>
  <c r="Y37" i="4"/>
  <c r="AA35" i="3"/>
  <c r="AA49"/>
  <c r="D57" i="4"/>
  <c r="D52" i="8" s="1"/>
  <c r="AC55" i="3"/>
  <c r="Y24"/>
  <c r="Y17" s="1"/>
  <c r="D56" i="4"/>
  <c r="D51" i="8" s="1"/>
  <c r="AC54" i="3"/>
  <c r="E53"/>
  <c r="AA53"/>
  <c r="X26" i="4"/>
  <c r="D54"/>
  <c r="D49" i="8" s="1"/>
  <c r="AC52" i="3"/>
  <c r="AB34"/>
  <c r="AB33"/>
  <c r="AC26"/>
  <c r="D28" i="4"/>
  <c r="AB48" i="3"/>
  <c r="AB46"/>
  <c r="AB45"/>
  <c r="AB40"/>
  <c r="AB43"/>
  <c r="AB47"/>
  <c r="Z39"/>
  <c r="Z24" s="1"/>
  <c r="W18" i="4"/>
  <c r="AB18" i="3"/>
  <c r="AC23"/>
  <c r="AC18" s="1"/>
  <c r="D52" i="4"/>
  <c r="D47" i="8" s="1"/>
  <c r="AC50" i="3"/>
  <c r="D53" i="4"/>
  <c r="AC51" i="3"/>
  <c r="I51" i="8" l="1"/>
  <c r="J51" s="1"/>
  <c r="I39"/>
  <c r="J39" s="1"/>
  <c r="I47"/>
  <c r="J47" s="1"/>
  <c r="I49"/>
  <c r="J49" s="1"/>
  <c r="I52"/>
  <c r="J52" s="1"/>
  <c r="I38"/>
  <c r="J38" s="1"/>
  <c r="X21" i="4"/>
  <c r="F14" i="1"/>
  <c r="D23" i="8"/>
  <c r="F39" i="1"/>
  <c r="D48" i="8"/>
  <c r="Z37" i="4"/>
  <c r="AB35" i="3"/>
  <c r="Z29" i="4"/>
  <c r="AB27" i="3"/>
  <c r="Z40" i="4"/>
  <c r="AB38" i="3"/>
  <c r="AB49"/>
  <c r="Y26" i="4"/>
  <c r="AB53" i="3"/>
  <c r="D36" i="4"/>
  <c r="AC34" i="3"/>
  <c r="D35" i="4"/>
  <c r="AC33" i="3"/>
  <c r="D50" i="4"/>
  <c r="AC48" i="3"/>
  <c r="AC45"/>
  <c r="D47" i="4"/>
  <c r="D48"/>
  <c r="AC46" i="3"/>
  <c r="AC43"/>
  <c r="D45" i="4"/>
  <c r="AC40" i="3"/>
  <c r="D42" i="4"/>
  <c r="AC47" i="3"/>
  <c r="D49" i="4"/>
  <c r="D44" i="8" s="1"/>
  <c r="AA39" i="3"/>
  <c r="E39"/>
  <c r="I48" i="8" l="1"/>
  <c r="J48" s="1"/>
  <c r="I23"/>
  <c r="J23" s="1"/>
  <c r="I44"/>
  <c r="J44" s="1"/>
  <c r="Y21" i="4"/>
  <c r="F28" i="1"/>
  <c r="D37" i="8"/>
  <c r="F34" i="1"/>
  <c r="D43" i="8"/>
  <c r="F36" i="1"/>
  <c r="D45" i="8"/>
  <c r="F21" i="1"/>
  <c r="D30" i="8"/>
  <c r="I30" s="1"/>
  <c r="F22" i="1"/>
  <c r="D31" i="8"/>
  <c r="F31" i="1"/>
  <c r="D40" i="8"/>
  <c r="F33" i="1"/>
  <c r="D42" i="8"/>
  <c r="AC38" i="3"/>
  <c r="D40" i="4"/>
  <c r="AC27" i="3"/>
  <c r="D29" i="4"/>
  <c r="AC35" i="3"/>
  <c r="D37" i="4"/>
  <c r="AC49" i="3"/>
  <c r="D51" i="4"/>
  <c r="AA24" i="3"/>
  <c r="AA17" s="1"/>
  <c r="D55" i="4"/>
  <c r="D50" i="8" s="1"/>
  <c r="AC53" i="3"/>
  <c r="E24"/>
  <c r="E22" i="6" s="1"/>
  <c r="Z17" i="3"/>
  <c r="AB39"/>
  <c r="Z26" i="4"/>
  <c r="I50" i="8" l="1"/>
  <c r="J50" s="1"/>
  <c r="I42"/>
  <c r="J42" s="1"/>
  <c r="I40"/>
  <c r="J40" s="1"/>
  <c r="I31"/>
  <c r="J31" s="1"/>
  <c r="I45"/>
  <c r="J45" s="1"/>
  <c r="I43"/>
  <c r="J43" s="1"/>
  <c r="I37"/>
  <c r="J37" s="1"/>
  <c r="Z21" i="4"/>
  <c r="F15" i="1"/>
  <c r="D24" i="8"/>
  <c r="F37" i="1"/>
  <c r="D46" i="8"/>
  <c r="F23" i="1"/>
  <c r="D32" i="8"/>
  <c r="F26" i="1"/>
  <c r="D35" i="8"/>
  <c r="J30"/>
  <c r="AB24" i="3"/>
  <c r="AB17" s="1"/>
  <c r="D22" i="6"/>
  <c r="D25" s="1"/>
  <c r="D26" s="1"/>
  <c r="E25"/>
  <c r="E26" s="1"/>
  <c r="D41" i="4"/>
  <c r="AC39" i="3"/>
  <c r="I32" i="8" l="1"/>
  <c r="J32" s="1"/>
  <c r="I35"/>
  <c r="J35" s="1"/>
  <c r="I46"/>
  <c r="J46" s="1"/>
  <c r="I24"/>
  <c r="J24" s="1"/>
  <c r="D26" i="4"/>
  <c r="D21" i="8" s="1"/>
  <c r="D36"/>
  <c r="I36" s="1"/>
  <c r="AC24" i="3"/>
  <c r="AC17" s="1"/>
  <c r="J36" i="8" l="1"/>
  <c r="J69" s="1"/>
  <c r="I69"/>
  <c r="G20" i="4"/>
  <c r="H20" s="1"/>
  <c r="I20" s="1"/>
  <c r="J20" s="1"/>
  <c r="K20" s="1"/>
  <c r="L20" s="1"/>
  <c r="M20" s="1"/>
  <c r="N20" s="1"/>
</calcChain>
</file>

<file path=xl/sharedStrings.xml><?xml version="1.0" encoding="utf-8"?>
<sst xmlns="http://schemas.openxmlformats.org/spreadsheetml/2006/main" count="886" uniqueCount="320">
  <si>
    <t>Titulo Importante</t>
  </si>
  <si>
    <t>Estimado</t>
  </si>
  <si>
    <t>Factor</t>
  </si>
  <si>
    <t>Ajustado</t>
  </si>
  <si>
    <t>Trabajo Pendiente</t>
  </si>
  <si>
    <t>Planillas nuevo proyecto</t>
  </si>
  <si>
    <t>Template BackLog</t>
  </si>
  <si>
    <t>Crear backlog product</t>
  </si>
  <si>
    <t>Crear Sprint backlog product</t>
  </si>
  <si>
    <t>Plan de Release y  Sprint</t>
  </si>
  <si>
    <t>Sprint 1</t>
  </si>
  <si>
    <t>Estado</t>
  </si>
  <si>
    <t>T ideal</t>
  </si>
  <si>
    <t>D. Lab.</t>
  </si>
  <si>
    <t>Fecha</t>
  </si>
  <si>
    <t>D. Sem.</t>
  </si>
  <si>
    <t>Riesgo</t>
  </si>
  <si>
    <t>Sin Riesgo</t>
  </si>
  <si>
    <t>Muy Bajo</t>
  </si>
  <si>
    <t>Bajo</t>
  </si>
  <si>
    <t>Medio</t>
  </si>
  <si>
    <t>Alto</t>
  </si>
  <si>
    <t>Nombre</t>
  </si>
  <si>
    <t>Fecha de Inicio</t>
  </si>
  <si>
    <t>Fecha Fin</t>
  </si>
  <si>
    <t>Proyecto A</t>
  </si>
  <si>
    <t>Spring 1</t>
  </si>
  <si>
    <t>Spring 2</t>
  </si>
  <si>
    <t>Esfuerzo Estimado</t>
  </si>
  <si>
    <t>Esfuerzo Utilizado</t>
  </si>
  <si>
    <t>Esfuerzo Restante</t>
  </si>
  <si>
    <t>Spring Futuros</t>
  </si>
  <si>
    <t>Inicio Scrum</t>
  </si>
  <si>
    <t>Totales</t>
  </si>
  <si>
    <t>T. Acum</t>
  </si>
  <si>
    <t>Recursos</t>
  </si>
  <si>
    <t>Iniciales</t>
  </si>
  <si>
    <t>Esf. Diario Disponible</t>
  </si>
  <si>
    <t>Sin Asignar</t>
  </si>
  <si>
    <t>Estados</t>
  </si>
  <si>
    <t>Pendiente</t>
  </si>
  <si>
    <t>En Progreso</t>
  </si>
  <si>
    <t>Completo</t>
  </si>
  <si>
    <t>Cancelado</t>
  </si>
  <si>
    <t>T Restante  Real</t>
  </si>
  <si>
    <t>Tot. En Dias</t>
  </si>
  <si>
    <t>Esfuerzo Diario Disponible</t>
  </si>
  <si>
    <t xml:space="preserve">Valor Tarea: Otorgado por el Cliente </t>
  </si>
  <si>
    <t>Normal</t>
  </si>
  <si>
    <t>Relevante</t>
  </si>
  <si>
    <t>Deseable</t>
  </si>
  <si>
    <t>Indispensable</t>
  </si>
  <si>
    <t>No Relevante</t>
  </si>
  <si>
    <t>Valor</t>
  </si>
  <si>
    <t>Indicador de  Valor</t>
  </si>
  <si>
    <t>Requerimiento</t>
  </si>
  <si>
    <t>Spring</t>
  </si>
  <si>
    <t>Link Especificación</t>
  </si>
  <si>
    <t>Esfuerzo Diario</t>
  </si>
  <si>
    <t>METODOS AGILES SCRUM</t>
  </si>
  <si>
    <t>PANEL DE CONTROL</t>
  </si>
  <si>
    <t>Fin Estimado</t>
  </si>
  <si>
    <t>Velocidad</t>
  </si>
  <si>
    <t>Vel Normal</t>
  </si>
  <si>
    <t>Indice Veloc.</t>
  </si>
  <si>
    <t>Cargar Requerimientos del cliente , Riesgo , Valor para el Cliente y Sprint donde se realizará</t>
  </si>
  <si>
    <t>SRUM MASTER</t>
  </si>
  <si>
    <t>MEMBER</t>
  </si>
  <si>
    <t>PRODUCT OWNER</t>
  </si>
  <si>
    <t>Cargar Tareas por Sprint, Estimado , Riego, solo para inicio srum cargar dia 2 y 3  Y CARGAS MANAULES EN ROJO</t>
  </si>
  <si>
    <t xml:space="preserve">Cargar el dia 1 en "T  Ideal" el Total acumulado y poner zero al dia estimado de fin del sprit </t>
  </si>
  <si>
    <t>Cargar las Referencias a las tareas , Asignar recursos , definir estados y cargar esfuerzo restante a partir del dia 2 marcar con rojo las cargas manuales</t>
  </si>
  <si>
    <r>
      <t xml:space="preserve">Actualizar al dia de </t>
    </r>
    <r>
      <rPr>
        <b/>
        <sz val="10"/>
        <rFont val="Arial"/>
        <family val="2"/>
      </rPr>
      <t>hoy</t>
    </r>
    <r>
      <rPr>
        <sz val="10"/>
        <rFont val="Arial"/>
        <family val="2"/>
      </rPr>
      <t xml:space="preserve"> la referencia de la fila "T Restante Real" copiando la formula del dia 1</t>
    </r>
  </si>
  <si>
    <t>Cargas la Fila Fecha con los dias reales sin sabados ni domingos ni feriados</t>
  </si>
  <si>
    <t>BackLog Riegos</t>
  </si>
  <si>
    <t>Observaciones</t>
  </si>
  <si>
    <t>Riego</t>
  </si>
  <si>
    <t>Dia</t>
  </si>
  <si>
    <t>Errores Detect</t>
  </si>
  <si>
    <t>Errores Corr.</t>
  </si>
  <si>
    <t>Hs Analisis</t>
  </si>
  <si>
    <t>Hs Contruccion</t>
  </si>
  <si>
    <t xml:space="preserve">Cargar Requerimientos nuevos y riegos , problemas </t>
  </si>
  <si>
    <t>DIA HOY;</t>
  </si>
  <si>
    <t>DIA</t>
  </si>
  <si>
    <t>hoy</t>
  </si>
  <si>
    <t>Resolucion</t>
  </si>
  <si>
    <t>CÓDIGO</t>
  </si>
  <si>
    <t>VERSIÓN: 1.0.0 Beta</t>
  </si>
  <si>
    <t>Área de Proyectos</t>
  </si>
  <si>
    <r>
      <t xml:space="preserve">Revisó: </t>
    </r>
    <r>
      <rPr>
        <b/>
        <sz val="8"/>
        <rFont val="Arial"/>
        <family val="2"/>
      </rPr>
      <t>FMO</t>
    </r>
  </si>
  <si>
    <t>Plan de Iteración</t>
  </si>
  <si>
    <t>F-PE-CYMP-007-005</t>
  </si>
  <si>
    <t>Aprobó:</t>
  </si>
  <si>
    <t xml:space="preserve">Revisó: </t>
  </si>
  <si>
    <t xml:space="preserve">VERSIÓN: 1.0.0 </t>
  </si>
  <si>
    <r>
      <t xml:space="preserve">Elaboró: </t>
    </r>
    <r>
      <rPr>
        <b/>
        <sz val="8"/>
        <rFont val="Arial"/>
        <family val="2"/>
      </rPr>
      <t xml:space="preserve"> </t>
    </r>
  </si>
  <si>
    <r>
      <t xml:space="preserve">Aprobó: </t>
    </r>
    <r>
      <rPr>
        <b/>
        <sz val="8"/>
        <rFont val="Arial"/>
        <family val="2"/>
      </rPr>
      <t xml:space="preserve"> </t>
    </r>
  </si>
  <si>
    <r>
      <t xml:space="preserve">Revisó: </t>
    </r>
    <r>
      <rPr>
        <b/>
        <sz val="8"/>
        <rFont val="Arial"/>
        <family val="2"/>
      </rPr>
      <t xml:space="preserve"> </t>
    </r>
  </si>
  <si>
    <t>LIMITES</t>
  </si>
  <si>
    <r>
      <t xml:space="preserve">Elaboró: </t>
    </r>
    <r>
      <rPr>
        <b/>
        <sz val="8"/>
        <rFont val="Arial"/>
        <family val="2"/>
      </rPr>
      <t>asf</t>
    </r>
  </si>
  <si>
    <t>Ficha Residente</t>
  </si>
  <si>
    <t>datos personales</t>
  </si>
  <si>
    <t>selección silla</t>
  </si>
  <si>
    <t>selección cama</t>
  </si>
  <si>
    <t>direcciones</t>
  </si>
  <si>
    <t>telefonos</t>
  </si>
  <si>
    <t>Lista de Espera</t>
  </si>
  <si>
    <t>nueva lista espera</t>
  </si>
  <si>
    <t>salidas</t>
  </si>
  <si>
    <t>registrar salida</t>
  </si>
  <si>
    <t>visitas</t>
  </si>
  <si>
    <t>registrar visita</t>
  </si>
  <si>
    <t>Nestor</t>
  </si>
  <si>
    <t>NMA</t>
  </si>
  <si>
    <t>Emiliano</t>
  </si>
  <si>
    <t>EAN</t>
  </si>
  <si>
    <t>QuickTest</t>
  </si>
  <si>
    <t>QTE</t>
  </si>
  <si>
    <t xml:space="preserve">METODOS AGILES SCRUM   </t>
  </si>
  <si>
    <t xml:space="preserve"> BackLog Product </t>
  </si>
  <si>
    <t>facturación</t>
  </si>
  <si>
    <t>Analisis Ficha</t>
  </si>
  <si>
    <t>Diseño Ficha</t>
  </si>
  <si>
    <t>Testing Ficha Iter 1  solo 50%</t>
  </si>
  <si>
    <t>Analisis Espera</t>
  </si>
  <si>
    <t>Diseño Espera</t>
  </si>
  <si>
    <t>Testing Espera  Iter 1  solo 50%</t>
  </si>
  <si>
    <t>direcciones integración</t>
  </si>
  <si>
    <t>telefonos integración</t>
  </si>
  <si>
    <t>Analisis Salidas</t>
  </si>
  <si>
    <t>Diseño Salidas</t>
  </si>
  <si>
    <t>Testing Salidas  Iter 1  solo 50%</t>
  </si>
  <si>
    <t>Analisis Visitas</t>
  </si>
  <si>
    <t>Diseño Visitas</t>
  </si>
  <si>
    <t>Testing Visitas  Iter 1  solo 50%</t>
  </si>
  <si>
    <t>Administracion Proyecto</t>
  </si>
  <si>
    <t xml:space="preserve">  </t>
  </si>
  <si>
    <t xml:space="preserve">    </t>
  </si>
  <si>
    <t xml:space="preserve">            </t>
  </si>
  <si>
    <t>Correcciones y DOC entrega</t>
  </si>
  <si>
    <t>pendiente</t>
  </si>
  <si>
    <t>nos faltaria ejemplo real de pantallas a desarrollar por Vitae para que no nos impacten cambios de arquitectura, el modelo enviado no es muy claro el uso</t>
  </si>
  <si>
    <t>tareas varias No Planificadas impactan en buffer</t>
  </si>
  <si>
    <t xml:space="preserve">Buffer CCPM  </t>
  </si>
  <si>
    <t>reprogramacion de fechas y tareas</t>
  </si>
  <si>
    <t xml:space="preserve">SPRINT 2  BACKLOG </t>
  </si>
  <si>
    <t>Resumen Sprint 2</t>
  </si>
  <si>
    <t>Faltan ejemplos reales de implemetacion de I8N por vitae</t>
  </si>
  <si>
    <t>Pases</t>
  </si>
  <si>
    <t>Dietas</t>
  </si>
  <si>
    <t>Asignacion de Dietas</t>
  </si>
  <si>
    <t>Informe de Dietas</t>
  </si>
  <si>
    <t>Valoraciones Iniciales</t>
  </si>
  <si>
    <t>Expediente Personal Clínico Social</t>
  </si>
  <si>
    <t xml:space="preserve">     Arbol de centros</t>
  </si>
  <si>
    <t xml:space="preserve">     Listado de residentes</t>
  </si>
  <si>
    <t xml:space="preserve">     Información general</t>
  </si>
  <si>
    <t xml:space="preserve">          Visión General</t>
  </si>
  <si>
    <t xml:space="preserve">          Caidas</t>
  </si>
  <si>
    <t xml:space="preserve">          Incidencas</t>
  </si>
  <si>
    <t xml:space="preserve">              Generales</t>
  </si>
  <si>
    <t xml:space="preserve">              Tareas</t>
  </si>
  <si>
    <t xml:space="preserve">              Alertas Medicación</t>
  </si>
  <si>
    <t xml:space="preserve">    Visitas</t>
  </si>
  <si>
    <t xml:space="preserve">    Dietas (reutilización)</t>
  </si>
  <si>
    <t>Médico</t>
  </si>
  <si>
    <t xml:space="preserve">    Anámnesis</t>
  </si>
  <si>
    <t xml:space="preserve">    Valoracion Inicial</t>
  </si>
  <si>
    <t xml:space="preserve">    Diagnosis</t>
  </si>
  <si>
    <t xml:space="preserve">    Tratamiento Medicamentoso</t>
  </si>
  <si>
    <t xml:space="preserve">    Exploracion Fisica</t>
  </si>
  <si>
    <t xml:space="preserve">    Analitica</t>
  </si>
  <si>
    <t xml:space="preserve">    Ordenes</t>
  </si>
  <si>
    <t xml:space="preserve">    Seguimiento Evolutivo</t>
  </si>
  <si>
    <t xml:space="preserve">    Valoraciones Seguimiento</t>
  </si>
  <si>
    <t>Emfermeria</t>
  </si>
  <si>
    <t xml:space="preserve">    Constantes</t>
  </si>
  <si>
    <t xml:space="preserve">    Ulceras</t>
  </si>
  <si>
    <t xml:space="preserve">    Lesiones</t>
  </si>
  <si>
    <t xml:space="preserve">        Grilla Lesiones</t>
  </si>
  <si>
    <t xml:space="preserve">        Pantalla ABM Lesiones</t>
  </si>
  <si>
    <t xml:space="preserve">        Grilla Curas</t>
  </si>
  <si>
    <t xml:space="preserve">        Pantalla ABM curas</t>
  </si>
  <si>
    <t xml:space="preserve">    R. Especificos</t>
  </si>
  <si>
    <t>Trabajo Social</t>
  </si>
  <si>
    <t xml:space="preserve">    Limitaciones de Salida</t>
  </si>
  <si>
    <t>Profesionales</t>
  </si>
  <si>
    <t xml:space="preserve">    Programas</t>
  </si>
  <si>
    <t>Incidencias</t>
  </si>
  <si>
    <t>Pantalla Incidencias</t>
  </si>
  <si>
    <t xml:space="preserve">     Generales</t>
  </si>
  <si>
    <t xml:space="preserve">     Tareas</t>
  </si>
  <si>
    <t xml:space="preserve">     Alertas Medicación</t>
  </si>
  <si>
    <t>Ordenes Médicas</t>
  </si>
  <si>
    <t>Pantalla Ordenes Médicas</t>
  </si>
  <si>
    <t xml:space="preserve">    Arbol centros</t>
  </si>
  <si>
    <t xml:space="preserve">     Arbol abajo izquierdo </t>
  </si>
  <si>
    <t xml:space="preserve">     Detalle de item</t>
  </si>
  <si>
    <t/>
  </si>
  <si>
    <t>anterior</t>
  </si>
  <si>
    <t>Analsis  Expediente</t>
  </si>
  <si>
    <t>Analisis incidencias</t>
  </si>
  <si>
    <t>Analisis Ordenes</t>
  </si>
  <si>
    <t xml:space="preserve">Testing </t>
  </si>
  <si>
    <t>Analisis Medico - solo anamnesis .</t>
  </si>
  <si>
    <t>Buffer CCPM   50 hs</t>
  </si>
  <si>
    <t>430 HS</t>
  </si>
  <si>
    <t>Costo $</t>
  </si>
  <si>
    <t>Costohs</t>
  </si>
  <si>
    <t>costoSub</t>
  </si>
  <si>
    <t>Gasto$</t>
  </si>
  <si>
    <t>GastoHs</t>
  </si>
  <si>
    <t>TOTALES</t>
  </si>
  <si>
    <t>presuEstim</t>
  </si>
  <si>
    <t>desvio$</t>
  </si>
  <si>
    <t>COSTOS</t>
  </si>
  <si>
    <t>BUFFER</t>
  </si>
  <si>
    <t>Lucas</t>
  </si>
  <si>
    <t>LUC</t>
  </si>
  <si>
    <t>Agastar$</t>
  </si>
  <si>
    <t>Buffer Critico</t>
  </si>
  <si>
    <t>Jr</t>
  </si>
  <si>
    <t>SSr</t>
  </si>
  <si>
    <t>Sr</t>
  </si>
  <si>
    <t>Desarrollo</t>
  </si>
  <si>
    <t>Analista</t>
  </si>
  <si>
    <t>Testing</t>
  </si>
  <si>
    <t>PM</t>
  </si>
  <si>
    <t>FreeLance</t>
  </si>
  <si>
    <t>Tr</t>
  </si>
  <si>
    <t>SubContrato</t>
  </si>
  <si>
    <t>Rol / Seniority</t>
  </si>
  <si>
    <t>Analisis</t>
  </si>
  <si>
    <t>Analista 1</t>
  </si>
  <si>
    <t>Desarrollo 1</t>
  </si>
  <si>
    <t>Desarrollo 2</t>
  </si>
  <si>
    <t>Testing 1</t>
  </si>
  <si>
    <t>PM 1</t>
  </si>
  <si>
    <t>S1</t>
  </si>
  <si>
    <t>S3</t>
  </si>
  <si>
    <t>S2</t>
  </si>
  <si>
    <t>S4</t>
  </si>
  <si>
    <t>S5</t>
  </si>
  <si>
    <t>SC</t>
  </si>
  <si>
    <t>HS Estimada</t>
  </si>
  <si>
    <t>Total Estimado hs</t>
  </si>
  <si>
    <t>Personas</t>
  </si>
  <si>
    <t>semanas</t>
  </si>
  <si>
    <t>Afectac</t>
  </si>
  <si>
    <t>Hs Hombre</t>
  </si>
  <si>
    <t>Total $</t>
  </si>
  <si>
    <t>S1  hs</t>
  </si>
  <si>
    <t>costo Hs</t>
  </si>
  <si>
    <t>Hs produc</t>
  </si>
  <si>
    <t>Costo real</t>
  </si>
  <si>
    <t>Hora Venta</t>
  </si>
  <si>
    <t>Hora Costo</t>
  </si>
  <si>
    <t>Proyecto Venta</t>
  </si>
  <si>
    <t>Margen Min</t>
  </si>
  <si>
    <t>Margen Max</t>
  </si>
  <si>
    <t>Margen Màx Hs</t>
  </si>
  <si>
    <t>Proyecto Costo max</t>
  </si>
  <si>
    <t>COSTOS  HORAS =150hs/mes</t>
  </si>
  <si>
    <t>ESTIMACION INICIAL</t>
  </si>
  <si>
    <t>SR</t>
  </si>
  <si>
    <t>HS</t>
  </si>
  <si>
    <t>PLAN DESARROLLO</t>
  </si>
  <si>
    <t>ejemplos de proyectos</t>
  </si>
  <si>
    <t>Hs</t>
  </si>
  <si>
    <t>$</t>
  </si>
  <si>
    <t>BUFFER PRIMARIO PM</t>
  </si>
  <si>
    <t>BUFFER SECUNDA PM</t>
  </si>
  <si>
    <t>BUFFER CRITICO</t>
  </si>
  <si>
    <t xml:space="preserve">PLAN </t>
  </si>
  <si>
    <t>en color verde para carga</t>
  </si>
  <si>
    <t xml:space="preserve">MARGEN Negocio </t>
  </si>
  <si>
    <t xml:space="preserve">Perdidas del  Negocio </t>
  </si>
  <si>
    <t>hs asig</t>
  </si>
  <si>
    <t>hs esperadas</t>
  </si>
  <si>
    <t>factor sr</t>
  </si>
  <si>
    <t>factor</t>
  </si>
  <si>
    <t>FR</t>
  </si>
  <si>
    <t>Total est $</t>
  </si>
  <si>
    <t xml:space="preserve">Total Estimado  </t>
  </si>
  <si>
    <t xml:space="preserve">ESTIMACION INICIAL - ASIGNACIONES </t>
  </si>
  <si>
    <t>ESTIMACION INICIAL  - TEMPORIZACION</t>
  </si>
  <si>
    <t xml:space="preserve">ESTIMACION INICIAL </t>
  </si>
  <si>
    <t>COSTO EST</t>
  </si>
  <si>
    <t>COSTO HS</t>
  </si>
  <si>
    <t>ASIGNACION  INICIAL</t>
  </si>
  <si>
    <t>ASIG X HS SEMANAL</t>
  </si>
  <si>
    <t xml:space="preserve">Resumen                      </t>
  </si>
  <si>
    <t>Precio Venta</t>
  </si>
  <si>
    <t>Desarrollo 3</t>
  </si>
  <si>
    <t>MESES</t>
  </si>
  <si>
    <t>$/MES</t>
  </si>
  <si>
    <t>HS PM AJUS</t>
  </si>
  <si>
    <t>Testing 2</t>
  </si>
  <si>
    <t>% tarea distrib</t>
  </si>
  <si>
    <t>full ?s/ relocacion</t>
  </si>
  <si>
    <t>Afectación Horaria</t>
  </si>
  <si>
    <t>% Tarea distribuida</t>
  </si>
  <si>
    <t>Dia1</t>
  </si>
  <si>
    <t>Consume estimado</t>
  </si>
  <si>
    <t>Hs Productivas</t>
  </si>
  <si>
    <t>Dia2</t>
  </si>
  <si>
    <t>Dia3</t>
  </si>
  <si>
    <t>Dia4</t>
  </si>
  <si>
    <t>Dia5</t>
  </si>
  <si>
    <t>buffer consumido</t>
  </si>
  <si>
    <t>Hs PM: 140</t>
  </si>
  <si>
    <t xml:space="preserve">Buffer Pr </t>
  </si>
  <si>
    <t>Hs Total</t>
  </si>
  <si>
    <t>Buffer Sec</t>
  </si>
  <si>
    <t>Buffer Cri</t>
  </si>
  <si>
    <t>Dia6</t>
  </si>
  <si>
    <t>Dia7</t>
  </si>
  <si>
    <t>Consumo estimado</t>
  </si>
  <si>
    <t>Buffer pri</t>
  </si>
</sst>
</file>

<file path=xl/styles.xml><?xml version="1.0" encoding="utf-8"?>
<styleSheet xmlns="http://schemas.openxmlformats.org/spreadsheetml/2006/main">
  <numFmts count="10">
    <numFmt numFmtId="44" formatCode="_-* #,##0.00\ &quot;€&quot;_-;\-* #,##0.00\ &quot;€&quot;_-;_-* &quot;-&quot;??\ &quot;€&quot;_-;_-@_-"/>
    <numFmt numFmtId="164" formatCode="[$-C0A]d\-mmm;@"/>
    <numFmt numFmtId="165" formatCode="0.0"/>
    <numFmt numFmtId="166" formatCode="[$-C0A]d\-mmm\-yy;@"/>
    <numFmt numFmtId="167" formatCode="[$-C0A]dd\-mmm\-yy;@"/>
    <numFmt numFmtId="168" formatCode="[$$-2C0A]\ #,##0.0"/>
    <numFmt numFmtId="169" formatCode="_ [$$-2C0A]\ * #,##0.00_ ;_ [$$-2C0A]\ * \-#,##0.00_ ;_ [$$-2C0A]\ * &quot;-&quot;??_ ;_ @_ "/>
    <numFmt numFmtId="170" formatCode="_-[$$-409]* #,##0.000_ ;_-[$$-409]* \-#,##0.000\ ;_-[$$-409]* &quot;-&quot;???_ ;_-@_ "/>
    <numFmt numFmtId="171" formatCode="[$$-C09]#,##0.00;[Red]\-[$$-C09]#,##0.00"/>
    <numFmt numFmtId="172" formatCode="_-[$$-409]* #,##0.00_ ;_-[$$-409]* \-#,##0.00\ ;_-[$$-409]* &quot;-&quot;??_ ;_-@_ "/>
  </numFmts>
  <fonts count="5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9"/>
      <name val="Arial"/>
      <family val="2"/>
    </font>
    <font>
      <sz val="8"/>
      <color indexed="8"/>
      <name val="Arial"/>
      <family val="2"/>
    </font>
    <font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2"/>
      <name val="Times New Roman"/>
      <family val="1"/>
    </font>
    <font>
      <sz val="10"/>
      <name val="Arial Black"/>
      <family val="2"/>
    </font>
    <font>
      <b/>
      <sz val="14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b/>
      <sz val="12"/>
      <color indexed="8"/>
      <name val="Arial"/>
      <family val="2"/>
    </font>
    <font>
      <sz val="28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20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0" fillId="0" borderId="0"/>
    <xf numFmtId="44" fontId="44" fillId="0" borderId="0" applyFont="0" applyFill="0" applyBorder="0" applyAlignment="0" applyProtection="0"/>
  </cellStyleXfs>
  <cellXfs count="57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4" fillId="0" borderId="1" xfId="0" applyFont="1" applyBorder="1"/>
    <xf numFmtId="0" fontId="4" fillId="0" borderId="0" xfId="0" applyFont="1"/>
    <xf numFmtId="0" fontId="5" fillId="3" borderId="1" xfId="0" applyFont="1" applyFill="1" applyBorder="1"/>
    <xf numFmtId="0" fontId="2" fillId="0" borderId="0" xfId="0" applyFont="1"/>
    <xf numFmtId="0" fontId="6" fillId="0" borderId="0" xfId="0" applyFont="1"/>
    <xf numFmtId="164" fontId="8" fillId="3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3" borderId="7" xfId="0" applyFont="1" applyFill="1" applyBorder="1"/>
    <xf numFmtId="0" fontId="2" fillId="3" borderId="7" xfId="0" applyFont="1" applyFill="1" applyBorder="1"/>
    <xf numFmtId="0" fontId="5" fillId="3" borderId="8" xfId="0" applyFont="1" applyFill="1" applyBorder="1"/>
    <xf numFmtId="0" fontId="2" fillId="3" borderId="8" xfId="0" applyFont="1" applyFill="1" applyBorder="1"/>
    <xf numFmtId="0" fontId="4" fillId="2" borderId="1" xfId="0" applyFont="1" applyFill="1" applyBorder="1"/>
    <xf numFmtId="0" fontId="4" fillId="0" borderId="2" xfId="0" applyFont="1" applyBorder="1"/>
    <xf numFmtId="0" fontId="11" fillId="0" borderId="1" xfId="0" applyFont="1" applyBorder="1"/>
    <xf numFmtId="0" fontId="5" fillId="4" borderId="1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8" fillId="3" borderId="10" xfId="0" applyNumberFormat="1" applyFont="1" applyFill="1" applyBorder="1"/>
    <xf numFmtId="0" fontId="11" fillId="2" borderId="11" xfId="0" applyFont="1" applyFill="1" applyBorder="1"/>
    <xf numFmtId="0" fontId="11" fillId="2" borderId="12" xfId="0" applyFont="1" applyFill="1" applyBorder="1"/>
    <xf numFmtId="0" fontId="10" fillId="3" borderId="13" xfId="0" applyFont="1" applyFill="1" applyBorder="1"/>
    <xf numFmtId="0" fontId="8" fillId="3" borderId="1" xfId="0" applyNumberFormat="1" applyFont="1" applyFill="1" applyBorder="1"/>
    <xf numFmtId="0" fontId="0" fillId="0" borderId="14" xfId="0" applyBorder="1"/>
    <xf numFmtId="0" fontId="0" fillId="0" borderId="9" xfId="0" applyBorder="1"/>
    <xf numFmtId="0" fontId="0" fillId="2" borderId="11" xfId="0" applyFill="1" applyBorder="1"/>
    <xf numFmtId="0" fontId="0" fillId="2" borderId="15" xfId="0" applyFill="1" applyBorder="1"/>
    <xf numFmtId="0" fontId="2" fillId="2" borderId="16" xfId="0" applyFont="1" applyFill="1" applyBorder="1"/>
    <xf numFmtId="0" fontId="11" fillId="2" borderId="17" xfId="0" applyFont="1" applyFill="1" applyBorder="1"/>
    <xf numFmtId="0" fontId="17" fillId="3" borderId="8" xfId="0" applyFont="1" applyFill="1" applyBorder="1"/>
    <xf numFmtId="0" fontId="3" fillId="3" borderId="8" xfId="0" applyFont="1" applyFill="1" applyBorder="1"/>
    <xf numFmtId="0" fontId="4" fillId="2" borderId="15" xfId="0" applyFont="1" applyFill="1" applyBorder="1"/>
    <xf numFmtId="22" fontId="0" fillId="0" borderId="0" xfId="0" applyNumberFormat="1"/>
    <xf numFmtId="0" fontId="11" fillId="2" borderId="18" xfId="0" applyFont="1" applyFill="1" applyBorder="1"/>
    <xf numFmtId="0" fontId="11" fillId="2" borderId="10" xfId="0" applyFont="1" applyFill="1" applyBorder="1"/>
    <xf numFmtId="0" fontId="0" fillId="0" borderId="0" xfId="0" applyFill="1" applyBorder="1"/>
    <xf numFmtId="0" fontId="2" fillId="0" borderId="1" xfId="0" applyFont="1" applyBorder="1"/>
    <xf numFmtId="0" fontId="2" fillId="0" borderId="4" xfId="0" applyFont="1" applyBorder="1"/>
    <xf numFmtId="0" fontId="2" fillId="0" borderId="21" xfId="0" applyFont="1" applyBorder="1"/>
    <xf numFmtId="166" fontId="0" fillId="0" borderId="0" xfId="0" applyNumberFormat="1"/>
    <xf numFmtId="0" fontId="2" fillId="0" borderId="5" xfId="0" applyFont="1" applyBorder="1"/>
    <xf numFmtId="2" fontId="0" fillId="0" borderId="1" xfId="0" applyNumberFormat="1" applyFill="1" applyBorder="1" applyAlignment="1"/>
    <xf numFmtId="2" fontId="0" fillId="0" borderId="5" xfId="0" applyNumberFormat="1" applyBorder="1"/>
    <xf numFmtId="0" fontId="5" fillId="4" borderId="9" xfId="0" applyFont="1" applyFill="1" applyBorder="1" applyAlignment="1">
      <alignment horizontal="center" wrapText="1"/>
    </xf>
    <xf numFmtId="0" fontId="17" fillId="4" borderId="9" xfId="0" applyFont="1" applyFill="1" applyBorder="1" applyAlignment="1">
      <alignment horizontal="center" wrapText="1"/>
    </xf>
    <xf numFmtId="0" fontId="17" fillId="4" borderId="8" xfId="0" applyFont="1" applyFill="1" applyBorder="1" applyAlignment="1">
      <alignment horizontal="center" wrapText="1"/>
    </xf>
    <xf numFmtId="0" fontId="13" fillId="5" borderId="23" xfId="0" applyFont="1" applyFill="1" applyBorder="1" applyAlignment="1">
      <alignment horizontal="left"/>
    </xf>
    <xf numFmtId="2" fontId="0" fillId="0" borderId="24" xfId="0" applyNumberFormat="1" applyFill="1" applyBorder="1" applyAlignment="1"/>
    <xf numFmtId="2" fontId="0" fillId="0" borderId="3" xfId="0" applyNumberFormat="1" applyFill="1" applyBorder="1" applyAlignment="1"/>
    <xf numFmtId="2" fontId="0" fillId="0" borderId="4" xfId="0" applyNumberFormat="1" applyFill="1" applyBorder="1" applyAlignment="1"/>
    <xf numFmtId="2" fontId="0" fillId="0" borderId="21" xfId="0" applyNumberFormat="1" applyBorder="1"/>
    <xf numFmtId="2" fontId="0" fillId="0" borderId="25" xfId="0" applyNumberFormat="1" applyFill="1" applyBorder="1" applyAlignment="1"/>
    <xf numFmtId="0" fontId="19" fillId="5" borderId="23" xfId="0" applyFont="1" applyFill="1" applyBorder="1" applyAlignment="1">
      <alignment horizontal="left"/>
    </xf>
    <xf numFmtId="0" fontId="19" fillId="5" borderId="26" xfId="0" applyFont="1" applyFill="1" applyBorder="1" applyAlignment="1">
      <alignment horizontal="left"/>
    </xf>
    <xf numFmtId="14" fontId="0" fillId="2" borderId="1" xfId="0" applyNumberFormat="1" applyFill="1" applyBorder="1" applyAlignment="1">
      <alignment wrapText="1"/>
    </xf>
    <xf numFmtId="14" fontId="0" fillId="2" borderId="1" xfId="0" applyNumberFormat="1" applyFill="1" applyBorder="1"/>
    <xf numFmtId="167" fontId="0" fillId="0" borderId="24" xfId="0" applyNumberFormat="1" applyBorder="1"/>
    <xf numFmtId="167" fontId="0" fillId="0" borderId="4" xfId="0" applyNumberFormat="1" applyBorder="1"/>
    <xf numFmtId="0" fontId="18" fillId="0" borderId="27" xfId="0" applyFont="1" applyBorder="1"/>
    <xf numFmtId="0" fontId="0" fillId="0" borderId="28" xfId="0" applyBorder="1"/>
    <xf numFmtId="0" fontId="0" fillId="0" borderId="29" xfId="0" applyBorder="1"/>
    <xf numFmtId="1" fontId="0" fillId="0" borderId="30" xfId="0" applyNumberFormat="1" applyFill="1" applyBorder="1" applyAlignment="1"/>
    <xf numFmtId="1" fontId="0" fillId="0" borderId="31" xfId="0" applyNumberFormat="1" applyFill="1" applyBorder="1" applyAlignment="1"/>
    <xf numFmtId="1" fontId="0" fillId="0" borderId="32" xfId="0" applyNumberFormat="1" applyBorder="1"/>
    <xf numFmtId="0" fontId="0" fillId="6" borderId="24" xfId="0" applyFill="1" applyBorder="1" applyAlignment="1">
      <alignment wrapText="1"/>
    </xf>
    <xf numFmtId="0" fontId="14" fillId="6" borderId="33" xfId="0" applyFont="1" applyFill="1" applyBorder="1" applyAlignment="1">
      <alignment horizontal="center" wrapText="1"/>
    </xf>
    <xf numFmtId="0" fontId="14" fillId="6" borderId="34" xfId="0" applyFont="1" applyFill="1" applyBorder="1" applyAlignment="1">
      <alignment horizontal="center" wrapText="1"/>
    </xf>
    <xf numFmtId="0" fontId="14" fillId="6" borderId="35" xfId="0" applyFont="1" applyFill="1" applyBorder="1" applyAlignment="1">
      <alignment horizontal="center" wrapText="1"/>
    </xf>
    <xf numFmtId="0" fontId="14" fillId="6" borderId="36" xfId="0" applyFont="1" applyFill="1" applyBorder="1" applyAlignment="1">
      <alignment horizontal="center" wrapText="1"/>
    </xf>
    <xf numFmtId="0" fontId="2" fillId="2" borderId="22" xfId="0" applyFont="1" applyFill="1" applyBorder="1"/>
    <xf numFmtId="0" fontId="2" fillId="0" borderId="20" xfId="0" applyFont="1" applyBorder="1"/>
    <xf numFmtId="167" fontId="0" fillId="0" borderId="37" xfId="0" applyNumberFormat="1" applyBorder="1"/>
    <xf numFmtId="167" fontId="0" fillId="0" borderId="25" xfId="0" applyNumberFormat="1" applyBorder="1"/>
    <xf numFmtId="0" fontId="14" fillId="6" borderId="38" xfId="0" applyFont="1" applyFill="1" applyBorder="1" applyAlignment="1">
      <alignment horizontal="center" wrapText="1"/>
    </xf>
    <xf numFmtId="167" fontId="0" fillId="2" borderId="39" xfId="0" applyNumberFormat="1" applyFill="1" applyBorder="1"/>
    <xf numFmtId="1" fontId="20" fillId="0" borderId="31" xfId="0" applyNumberFormat="1" applyFont="1" applyFill="1" applyBorder="1" applyAlignment="1"/>
    <xf numFmtId="2" fontId="0" fillId="0" borderId="40" xfId="0" applyNumberFormat="1" applyFill="1" applyBorder="1" applyAlignment="1"/>
    <xf numFmtId="9" fontId="0" fillId="0" borderId="39" xfId="1" applyFont="1" applyFill="1" applyBorder="1" applyAlignment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wrapText="1"/>
    </xf>
    <xf numFmtId="0" fontId="22" fillId="0" borderId="0" xfId="0" applyFont="1"/>
    <xf numFmtId="0" fontId="9" fillId="3" borderId="7" xfId="0" applyFont="1" applyFill="1" applyBorder="1"/>
    <xf numFmtId="0" fontId="9" fillId="3" borderId="13" xfId="0" applyFont="1" applyFill="1" applyBorder="1"/>
    <xf numFmtId="0" fontId="9" fillId="2" borderId="28" xfId="0" applyFont="1" applyFill="1" applyBorder="1"/>
    <xf numFmtId="0" fontId="22" fillId="2" borderId="41" xfId="0" applyFont="1" applyFill="1" applyBorder="1"/>
    <xf numFmtId="0" fontId="22" fillId="2" borderId="1" xfId="0" applyFont="1" applyFill="1" applyBorder="1"/>
    <xf numFmtId="0" fontId="22" fillId="0" borderId="42" xfId="0" applyFont="1" applyBorder="1"/>
    <xf numFmtId="0" fontId="22" fillId="2" borderId="43" xfId="0" applyFont="1" applyFill="1" applyBorder="1"/>
    <xf numFmtId="0" fontId="22" fillId="2" borderId="39" xfId="0" applyFont="1" applyFill="1" applyBorder="1"/>
    <xf numFmtId="0" fontId="22" fillId="0" borderId="0" xfId="0" applyFont="1" applyBorder="1"/>
    <xf numFmtId="0" fontId="22" fillId="2" borderId="44" xfId="0" applyFont="1" applyFill="1" applyBorder="1"/>
    <xf numFmtId="0" fontId="0" fillId="4" borderId="0" xfId="0" applyFill="1"/>
    <xf numFmtId="0" fontId="4" fillId="0" borderId="9" xfId="0" applyFont="1" applyBorder="1"/>
    <xf numFmtId="0" fontId="22" fillId="2" borderId="9" xfId="0" applyFont="1" applyFill="1" applyBorder="1"/>
    <xf numFmtId="0" fontId="11" fillId="2" borderId="13" xfId="0" applyFont="1" applyFill="1" applyBorder="1"/>
    <xf numFmtId="0" fontId="22" fillId="2" borderId="2" xfId="0" applyFont="1" applyFill="1" applyBorder="1"/>
    <xf numFmtId="0" fontId="4" fillId="2" borderId="11" xfId="0" applyFont="1" applyFill="1" applyBorder="1"/>
    <xf numFmtId="0" fontId="10" fillId="3" borderId="7" xfId="0" applyFont="1" applyFill="1" applyBorder="1"/>
    <xf numFmtId="0" fontId="5" fillId="8" borderId="2" xfId="0" applyFont="1" applyFill="1" applyBorder="1" applyAlignment="1">
      <alignment horizontal="center"/>
    </xf>
    <xf numFmtId="167" fontId="23" fillId="0" borderId="4" xfId="0" applyNumberFormat="1" applyFont="1" applyBorder="1"/>
    <xf numFmtId="167" fontId="23" fillId="0" borderId="25" xfId="0" applyNumberFormat="1" applyFont="1" applyBorder="1"/>
    <xf numFmtId="164" fontId="23" fillId="0" borderId="4" xfId="0" applyNumberFormat="1" applyFont="1" applyBorder="1"/>
    <xf numFmtId="164" fontId="23" fillId="0" borderId="25" xfId="0" applyNumberFormat="1" applyFont="1" applyBorder="1"/>
    <xf numFmtId="164" fontId="23" fillId="0" borderId="21" xfId="0" applyNumberFormat="1" applyFont="1" applyBorder="1"/>
    <xf numFmtId="164" fontId="23" fillId="0" borderId="47" xfId="0" applyNumberFormat="1" applyFont="1" applyBorder="1"/>
    <xf numFmtId="0" fontId="8" fillId="3" borderId="10" xfId="0" applyFont="1" applyFill="1" applyBorder="1"/>
    <xf numFmtId="0" fontId="8" fillId="3" borderId="13" xfId="0" applyFont="1" applyFill="1" applyBorder="1"/>
    <xf numFmtId="0" fontId="8" fillId="10" borderId="17" xfId="0" applyFont="1" applyFill="1" applyBorder="1" applyAlignment="1">
      <alignment wrapText="1"/>
    </xf>
    <xf numFmtId="0" fontId="8" fillId="9" borderId="17" xfId="0" applyFont="1" applyFill="1" applyBorder="1" applyAlignment="1">
      <alignment wrapText="1"/>
    </xf>
    <xf numFmtId="0" fontId="24" fillId="0" borderId="0" xfId="0" applyFont="1"/>
    <xf numFmtId="0" fontId="0" fillId="0" borderId="0" xfId="0" applyProtection="1">
      <protection hidden="1"/>
    </xf>
    <xf numFmtId="0" fontId="16" fillId="4" borderId="0" xfId="0" applyFont="1" applyFill="1" applyAlignment="1" applyProtection="1">
      <protection hidden="1"/>
    </xf>
    <xf numFmtId="0" fontId="16" fillId="4" borderId="0" xfId="0" applyFont="1" applyFill="1" applyAlignment="1" applyProtection="1">
      <alignment horizontal="center"/>
      <protection hidden="1"/>
    </xf>
    <xf numFmtId="0" fontId="16" fillId="0" borderId="0" xfId="0" applyFont="1" applyFill="1" applyAlignment="1" applyProtection="1">
      <alignment horizontal="center"/>
      <protection hidden="1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25" xfId="0" applyBorder="1"/>
    <xf numFmtId="0" fontId="10" fillId="0" borderId="24" xfId="0" applyFont="1" applyBorder="1"/>
    <xf numFmtId="0" fontId="0" fillId="0" borderId="19" xfId="0" applyBorder="1"/>
    <xf numFmtId="0" fontId="11" fillId="0" borderId="4" xfId="0" applyFont="1" applyBorder="1"/>
    <xf numFmtId="0" fontId="0" fillId="0" borderId="20" xfId="0" applyBorder="1"/>
    <xf numFmtId="0" fontId="11" fillId="0" borderId="21" xfId="0" applyFont="1" applyBorder="1"/>
    <xf numFmtId="0" fontId="0" fillId="0" borderId="22" xfId="0" applyBorder="1"/>
    <xf numFmtId="164" fontId="0" fillId="0" borderId="9" xfId="0" applyNumberFormat="1" applyBorder="1"/>
    <xf numFmtId="0" fontId="26" fillId="11" borderId="0" xfId="0" applyFont="1" applyFill="1"/>
    <xf numFmtId="0" fontId="25" fillId="11" borderId="0" xfId="0" applyFont="1" applyFill="1"/>
    <xf numFmtId="14" fontId="25" fillId="11" borderId="0" xfId="0" applyNumberFormat="1" applyFont="1" applyFill="1"/>
    <xf numFmtId="164" fontId="25" fillId="11" borderId="0" xfId="0" applyNumberFormat="1" applyFont="1" applyFill="1"/>
    <xf numFmtId="1" fontId="8" fillId="11" borderId="7" xfId="0" applyNumberFormat="1" applyFont="1" applyFill="1" applyBorder="1"/>
    <xf numFmtId="0" fontId="15" fillId="11" borderId="7" xfId="0" applyFont="1" applyFill="1" applyBorder="1"/>
    <xf numFmtId="165" fontId="2" fillId="2" borderId="33" xfId="0" applyNumberFormat="1" applyFont="1" applyFill="1" applyBorder="1"/>
    <xf numFmtId="0" fontId="10" fillId="12" borderId="1" xfId="0" applyFont="1" applyFill="1" applyBorder="1"/>
    <xf numFmtId="0" fontId="0" fillId="12" borderId="0" xfId="0" applyFill="1"/>
    <xf numFmtId="0" fontId="2" fillId="2" borderId="48" xfId="0" applyFont="1" applyFill="1" applyBorder="1"/>
    <xf numFmtId="0" fontId="12" fillId="0" borderId="1" xfId="0" applyFont="1" applyBorder="1"/>
    <xf numFmtId="0" fontId="0" fillId="0" borderId="0" xfId="0" applyBorder="1"/>
    <xf numFmtId="0" fontId="16" fillId="4" borderId="0" xfId="0" applyFont="1" applyFill="1"/>
    <xf numFmtId="0" fontId="5" fillId="4" borderId="0" xfId="0" applyFont="1" applyFill="1"/>
    <xf numFmtId="0" fontId="11" fillId="7" borderId="2" xfId="0" applyFont="1" applyFill="1" applyBorder="1"/>
    <xf numFmtId="0" fontId="11" fillId="7" borderId="46" xfId="0" applyFont="1" applyFill="1" applyBorder="1"/>
    <xf numFmtId="0" fontId="11" fillId="7" borderId="1" xfId="0" applyFont="1" applyFill="1" applyBorder="1"/>
    <xf numFmtId="0" fontId="11" fillId="7" borderId="20" xfId="0" applyFont="1" applyFill="1" applyBorder="1"/>
    <xf numFmtId="0" fontId="11" fillId="7" borderId="9" xfId="0" applyFont="1" applyFill="1" applyBorder="1"/>
    <xf numFmtId="0" fontId="11" fillId="7" borderId="49" xfId="0" applyFont="1" applyFill="1" applyBorder="1"/>
    <xf numFmtId="0" fontId="11" fillId="0" borderId="50" xfId="0" applyFont="1" applyBorder="1" applyAlignment="1">
      <alignment horizontal="center" wrapText="1"/>
    </xf>
    <xf numFmtId="0" fontId="11" fillId="0" borderId="51" xfId="0" applyFont="1" applyBorder="1" applyAlignment="1">
      <alignment horizontal="center" wrapText="1"/>
    </xf>
    <xf numFmtId="14" fontId="10" fillId="0" borderId="52" xfId="0" applyNumberFormat="1" applyFont="1" applyBorder="1" applyAlignment="1">
      <alignment horizontal="center" wrapText="1"/>
    </xf>
    <xf numFmtId="0" fontId="0" fillId="0" borderId="53" xfId="0" applyBorder="1"/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vertical="center" wrapText="1"/>
    </xf>
    <xf numFmtId="0" fontId="4" fillId="0" borderId="0" xfId="0" applyFont="1" applyBorder="1"/>
    <xf numFmtId="0" fontId="11" fillId="0" borderId="41" xfId="0" applyFont="1" applyBorder="1" applyAlignment="1">
      <alignment horizontal="center" wrapText="1"/>
    </xf>
    <xf numFmtId="0" fontId="25" fillId="0" borderId="0" xfId="0" applyFont="1" applyFill="1"/>
    <xf numFmtId="0" fontId="29" fillId="9" borderId="0" xfId="0" applyFont="1" applyFill="1"/>
    <xf numFmtId="0" fontId="0" fillId="13" borderId="0" xfId="0" applyFill="1"/>
    <xf numFmtId="0" fontId="25" fillId="13" borderId="0" xfId="0" applyFont="1" applyFill="1"/>
    <xf numFmtId="0" fontId="0" fillId="14" borderId="0" xfId="0" applyFill="1"/>
    <xf numFmtId="0" fontId="25" fillId="14" borderId="0" xfId="0" applyFont="1" applyFill="1"/>
    <xf numFmtId="0" fontId="0" fillId="9" borderId="0" xfId="0" applyFill="1"/>
    <xf numFmtId="0" fontId="31" fillId="16" borderId="1" xfId="2" applyFont="1" applyFill="1" applyBorder="1"/>
    <xf numFmtId="0" fontId="0" fillId="16" borderId="10" xfId="0" applyFill="1" applyBorder="1"/>
    <xf numFmtId="0" fontId="0" fillId="16" borderId="1" xfId="0" applyFill="1" applyBorder="1"/>
    <xf numFmtId="0" fontId="4" fillId="16" borderId="1" xfId="0" applyFont="1" applyFill="1" applyBorder="1"/>
    <xf numFmtId="0" fontId="0" fillId="16" borderId="1" xfId="0" applyFill="1" applyBorder="1" applyAlignment="1">
      <alignment horizontal="center"/>
    </xf>
    <xf numFmtId="0" fontId="2" fillId="16" borderId="1" xfId="0" applyFont="1" applyFill="1" applyBorder="1"/>
    <xf numFmtId="0" fontId="3" fillId="16" borderId="1" xfId="0" applyFont="1" applyFill="1" applyBorder="1"/>
    <xf numFmtId="0" fontId="0" fillId="17" borderId="2" xfId="0" applyFill="1" applyBorder="1"/>
    <xf numFmtId="0" fontId="0" fillId="17" borderId="20" xfId="0" applyFill="1" applyBorder="1"/>
    <xf numFmtId="0" fontId="0" fillId="18" borderId="0" xfId="0" applyFill="1"/>
    <xf numFmtId="0" fontId="0" fillId="18" borderId="0" xfId="0" applyFill="1" applyProtection="1">
      <protection hidden="1"/>
    </xf>
    <xf numFmtId="0" fontId="4" fillId="18" borderId="0" xfId="0" applyFont="1" applyFill="1"/>
    <xf numFmtId="0" fontId="6" fillId="18" borderId="0" xfId="0" applyFont="1" applyFill="1"/>
    <xf numFmtId="0" fontId="22" fillId="18" borderId="0" xfId="0" applyFont="1" applyFill="1"/>
    <xf numFmtId="0" fontId="11" fillId="18" borderId="51" xfId="0" applyFont="1" applyFill="1" applyBorder="1" applyAlignment="1">
      <alignment horizontal="center" wrapText="1"/>
    </xf>
    <xf numFmtId="14" fontId="10" fillId="18" borderId="52" xfId="0" applyNumberFormat="1" applyFont="1" applyFill="1" applyBorder="1" applyAlignment="1">
      <alignment horizontal="center" wrapText="1"/>
    </xf>
    <xf numFmtId="0" fontId="11" fillId="18" borderId="50" xfId="0" applyFont="1" applyFill="1" applyBorder="1" applyAlignment="1">
      <alignment horizontal="center" wrapText="1"/>
    </xf>
    <xf numFmtId="0" fontId="0" fillId="19" borderId="0" xfId="0" applyFill="1"/>
    <xf numFmtId="0" fontId="5" fillId="19" borderId="2" xfId="0" applyFont="1" applyFill="1" applyBorder="1" applyAlignment="1">
      <alignment horizontal="center"/>
    </xf>
    <xf numFmtId="0" fontId="12" fillId="7" borderId="59" xfId="0" applyFont="1" applyFill="1" applyBorder="1" applyAlignment="1" applyProtection="1">
      <alignment horizontal="left" vertical="center" indent="1"/>
      <protection locked="0"/>
    </xf>
    <xf numFmtId="0" fontId="32" fillId="7" borderId="18" xfId="0" applyFont="1" applyFill="1" applyBorder="1"/>
    <xf numFmtId="0" fontId="33" fillId="25" borderId="21" xfId="0" applyFont="1" applyFill="1" applyBorder="1"/>
    <xf numFmtId="0" fontId="15" fillId="25" borderId="22" xfId="0" applyFont="1" applyFill="1" applyBorder="1"/>
    <xf numFmtId="0" fontId="12" fillId="0" borderId="0" xfId="0" applyFont="1"/>
    <xf numFmtId="0" fontId="34" fillId="21" borderId="24" xfId="0" applyFont="1" applyFill="1" applyBorder="1" applyAlignment="1" applyProtection="1">
      <alignment horizontal="left" vertical="center" indent="1"/>
      <protection locked="0"/>
    </xf>
    <xf numFmtId="0" fontId="34" fillId="21" borderId="4" xfId="0" applyFont="1" applyFill="1" applyBorder="1" applyAlignment="1" applyProtection="1">
      <alignment horizontal="left" vertical="center" indent="1"/>
      <protection locked="0"/>
    </xf>
    <xf numFmtId="0" fontId="34" fillId="21" borderId="4" xfId="0" applyFont="1" applyFill="1" applyBorder="1" applyAlignment="1" applyProtection="1">
      <alignment horizontal="left" vertical="center" indent="2"/>
      <protection locked="0"/>
    </xf>
    <xf numFmtId="0" fontId="35" fillId="21" borderId="4" xfId="0" applyFont="1" applyFill="1" applyBorder="1" applyAlignment="1" applyProtection="1">
      <alignment horizontal="left" vertical="center" indent="1"/>
      <protection locked="0"/>
    </xf>
    <xf numFmtId="0" fontId="35" fillId="22" borderId="4" xfId="0" applyFont="1" applyFill="1" applyBorder="1" applyAlignment="1" applyProtection="1">
      <alignment horizontal="left" vertical="center" indent="1"/>
    </xf>
    <xf numFmtId="0" fontId="36" fillId="23" borderId="20" xfId="0" applyFont="1" applyFill="1" applyBorder="1"/>
    <xf numFmtId="0" fontId="36" fillId="24" borderId="20" xfId="0" applyFont="1" applyFill="1" applyBorder="1"/>
    <xf numFmtId="0" fontId="37" fillId="24" borderId="4" xfId="0" applyFont="1" applyFill="1" applyBorder="1"/>
    <xf numFmtId="0" fontId="37" fillId="25" borderId="21" xfId="0" applyFont="1" applyFill="1" applyBorder="1"/>
    <xf numFmtId="0" fontId="36" fillId="25" borderId="22" xfId="0" applyFont="1" applyFill="1" applyBorder="1"/>
    <xf numFmtId="0" fontId="34" fillId="21" borderId="4" xfId="0" applyFont="1" applyFill="1" applyBorder="1"/>
    <xf numFmtId="0" fontId="34" fillId="22" borderId="4" xfId="0" applyFont="1" applyFill="1" applyBorder="1" applyAlignment="1" applyProtection="1">
      <alignment horizontal="left" vertical="center" indent="1"/>
      <protection locked="0"/>
    </xf>
    <xf numFmtId="0" fontId="34" fillId="22" borderId="4" xfId="0" applyFont="1" applyFill="1" applyBorder="1"/>
    <xf numFmtId="0" fontId="34" fillId="23" borderId="4" xfId="0" applyFont="1" applyFill="1" applyBorder="1" applyAlignment="1" applyProtection="1">
      <alignment horizontal="left" vertical="center" indent="1"/>
      <protection locked="0"/>
    </xf>
    <xf numFmtId="0" fontId="34" fillId="23" borderId="4" xfId="0" applyFont="1" applyFill="1" applyBorder="1"/>
    <xf numFmtId="0" fontId="37" fillId="23" borderId="4" xfId="0" applyFont="1" applyFill="1" applyBorder="1"/>
    <xf numFmtId="0" fontId="34" fillId="24" borderId="4" xfId="0" applyFont="1" applyFill="1" applyBorder="1" applyAlignment="1" applyProtection="1">
      <alignment horizontal="left" vertical="center" indent="1"/>
      <protection locked="0"/>
    </xf>
    <xf numFmtId="0" fontId="34" fillId="24" borderId="4" xfId="0" applyFont="1" applyFill="1" applyBorder="1"/>
    <xf numFmtId="0" fontId="36" fillId="24" borderId="21" xfId="0" applyFont="1" applyFill="1" applyBorder="1"/>
    <xf numFmtId="0" fontId="3" fillId="26" borderId="1" xfId="0" applyFont="1" applyFill="1" applyBorder="1"/>
    <xf numFmtId="0" fontId="0" fillId="26" borderId="0" xfId="0" applyFill="1"/>
    <xf numFmtId="0" fontId="2" fillId="3" borderId="2" xfId="0" applyFont="1" applyFill="1" applyBorder="1"/>
    <xf numFmtId="0" fontId="2" fillId="26" borderId="2" xfId="0" applyFont="1" applyFill="1" applyBorder="1"/>
    <xf numFmtId="0" fontId="38" fillId="18" borderId="0" xfId="0" applyFont="1" applyFill="1" applyBorder="1"/>
    <xf numFmtId="0" fontId="37" fillId="18" borderId="21" xfId="0" applyFont="1" applyFill="1" applyBorder="1"/>
    <xf numFmtId="0" fontId="36" fillId="18" borderId="22" xfId="0" applyFont="1" applyFill="1" applyBorder="1"/>
    <xf numFmtId="0" fontId="33" fillId="18" borderId="21" xfId="0" applyFont="1" applyFill="1" applyBorder="1"/>
    <xf numFmtId="0" fontId="15" fillId="18" borderId="22" xfId="0" applyFont="1" applyFill="1" applyBorder="1"/>
    <xf numFmtId="0" fontId="2" fillId="18" borderId="0" xfId="0" applyFont="1" applyFill="1" applyBorder="1"/>
    <xf numFmtId="0" fontId="4" fillId="20" borderId="2" xfId="0" applyFont="1" applyFill="1" applyBorder="1"/>
    <xf numFmtId="0" fontId="4" fillId="20" borderId="1" xfId="0" applyFont="1" applyFill="1" applyBorder="1"/>
    <xf numFmtId="16" fontId="12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0" fillId="0" borderId="20" xfId="0" applyBorder="1" applyAlignment="1">
      <alignment horizontal="center" vertical="top"/>
    </xf>
    <xf numFmtId="0" fontId="12" fillId="0" borderId="4" xfId="0" applyFont="1" applyBorder="1" applyAlignment="1">
      <alignment vertical="top" wrapText="1"/>
    </xf>
    <xf numFmtId="0" fontId="0" fillId="0" borderId="20" xfId="0" applyFill="1" applyBorder="1" applyAlignment="1">
      <alignment horizontal="center" vertical="top"/>
    </xf>
    <xf numFmtId="0" fontId="12" fillId="0" borderId="4" xfId="0" applyFont="1" applyBorder="1" applyAlignment="1">
      <alignment vertical="top"/>
    </xf>
    <xf numFmtId="0" fontId="12" fillId="0" borderId="21" xfId="0" applyFont="1" applyBorder="1" applyAlignment="1">
      <alignment vertical="top"/>
    </xf>
    <xf numFmtId="0" fontId="12" fillId="0" borderId="21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0" fillId="2" borderId="5" xfId="0" applyFill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0" fillId="0" borderId="22" xfId="0" applyFill="1" applyBorder="1" applyAlignment="1">
      <alignment horizontal="center" vertical="top"/>
    </xf>
    <xf numFmtId="0" fontId="39" fillId="0" borderId="1" xfId="0" applyFont="1" applyBorder="1" applyAlignment="1">
      <alignment vertical="top" wrapText="1"/>
    </xf>
    <xf numFmtId="0" fontId="40" fillId="0" borderId="1" xfId="0" applyFont="1" applyBorder="1" applyAlignment="1">
      <alignment vertical="top" wrapText="1"/>
    </xf>
    <xf numFmtId="0" fontId="10" fillId="26" borderId="1" xfId="0" applyFont="1" applyFill="1" applyBorder="1"/>
    <xf numFmtId="0" fontId="37" fillId="27" borderId="21" xfId="0" applyFont="1" applyFill="1" applyBorder="1"/>
    <xf numFmtId="0" fontId="3" fillId="28" borderId="1" xfId="0" applyFont="1" applyFill="1" applyBorder="1"/>
    <xf numFmtId="165" fontId="0" fillId="0" borderId="0" xfId="0" applyNumberFormat="1"/>
    <xf numFmtId="165" fontId="22" fillId="2" borderId="2" xfId="0" applyNumberFormat="1" applyFont="1" applyFill="1" applyBorder="1"/>
    <xf numFmtId="165" fontId="22" fillId="0" borderId="42" xfId="0" applyNumberFormat="1" applyFont="1" applyBorder="1"/>
    <xf numFmtId="165" fontId="22" fillId="2" borderId="38" xfId="0" applyNumberFormat="1" applyFont="1" applyFill="1" applyBorder="1"/>
    <xf numFmtId="165" fontId="15" fillId="2" borderId="18" xfId="0" applyNumberFormat="1" applyFont="1" applyFill="1" applyBorder="1"/>
    <xf numFmtId="165" fontId="15" fillId="7" borderId="2" xfId="0" applyNumberFormat="1" applyFont="1" applyFill="1" applyBorder="1"/>
    <xf numFmtId="165" fontId="15" fillId="7" borderId="46" xfId="0" applyNumberFormat="1" applyFont="1" applyFill="1" applyBorder="1"/>
    <xf numFmtId="165" fontId="22" fillId="2" borderId="39" xfId="0" applyNumberFormat="1" applyFont="1" applyFill="1" applyBorder="1"/>
    <xf numFmtId="165" fontId="15" fillId="2" borderId="10" xfId="0" applyNumberFormat="1" applyFont="1" applyFill="1" applyBorder="1"/>
    <xf numFmtId="165" fontId="22" fillId="0" borderId="0" xfId="0" applyNumberFormat="1" applyFont="1" applyBorder="1"/>
    <xf numFmtId="165" fontId="22" fillId="2" borderId="44" xfId="0" applyNumberFormat="1" applyFont="1" applyFill="1" applyBorder="1"/>
    <xf numFmtId="165" fontId="22" fillId="0" borderId="45" xfId="0" applyNumberFormat="1" applyFont="1" applyBorder="1"/>
    <xf numFmtId="165" fontId="0" fillId="29" borderId="1" xfId="0" applyNumberFormat="1" applyFill="1" applyBorder="1"/>
    <xf numFmtId="0" fontId="33" fillId="25" borderId="60" xfId="0" applyFont="1" applyFill="1" applyBorder="1"/>
    <xf numFmtId="0" fontId="15" fillId="25" borderId="61" xfId="0" applyFont="1" applyFill="1" applyBorder="1"/>
    <xf numFmtId="0" fontId="1" fillId="22" borderId="1" xfId="0" applyFont="1" applyFill="1" applyBorder="1" applyAlignment="1" applyProtection="1">
      <alignment horizontal="left" vertical="center" indent="1"/>
      <protection locked="0"/>
    </xf>
    <xf numFmtId="0" fontId="15" fillId="22" borderId="1" xfId="0" applyFont="1" applyFill="1" applyBorder="1"/>
    <xf numFmtId="0" fontId="22" fillId="22" borderId="1" xfId="0" applyFont="1" applyFill="1" applyBorder="1"/>
    <xf numFmtId="0" fontId="33" fillId="22" borderId="1" xfId="0" applyFont="1" applyFill="1" applyBorder="1"/>
    <xf numFmtId="0" fontId="1" fillId="22" borderId="1" xfId="0" applyFont="1" applyFill="1" applyBorder="1" applyAlignment="1" applyProtection="1">
      <alignment vertical="center"/>
      <protection locked="0"/>
    </xf>
    <xf numFmtId="165" fontId="9" fillId="2" borderId="11" xfId="0" applyNumberFormat="1" applyFont="1" applyFill="1" applyBorder="1"/>
    <xf numFmtId="165" fontId="9" fillId="2" borderId="28" xfId="0" applyNumberFormat="1" applyFont="1" applyFill="1" applyBorder="1"/>
    <xf numFmtId="165" fontId="9" fillId="2" borderId="41" xfId="0" applyNumberFormat="1" applyFont="1" applyFill="1" applyBorder="1"/>
    <xf numFmtId="165" fontId="2" fillId="26" borderId="2" xfId="0" applyNumberFormat="1" applyFont="1" applyFill="1" applyBorder="1"/>
    <xf numFmtId="165" fontId="0" fillId="17" borderId="20" xfId="0" applyNumberFormat="1" applyFill="1" applyBorder="1"/>
    <xf numFmtId="165" fontId="12" fillId="17" borderId="20" xfId="0" applyNumberFormat="1" applyFont="1" applyFill="1" applyBorder="1"/>
    <xf numFmtId="165" fontId="7" fillId="10" borderId="17" xfId="0" applyNumberFormat="1" applyFont="1" applyFill="1" applyBorder="1"/>
    <xf numFmtId="165" fontId="7" fillId="9" borderId="17" xfId="0" applyNumberFormat="1" applyFont="1" applyFill="1" applyBorder="1"/>
    <xf numFmtId="165" fontId="8" fillId="3" borderId="1" xfId="0" applyNumberFormat="1" applyFont="1" applyFill="1" applyBorder="1"/>
    <xf numFmtId="165" fontId="10" fillId="3" borderId="7" xfId="0" applyNumberFormat="1" applyFont="1" applyFill="1" applyBorder="1"/>
    <xf numFmtId="165" fontId="11" fillId="2" borderId="3" xfId="0" applyNumberFormat="1" applyFont="1" applyFill="1" applyBorder="1" applyProtection="1"/>
    <xf numFmtId="165" fontId="11" fillId="0" borderId="1" xfId="0" applyNumberFormat="1" applyFont="1" applyBorder="1" applyProtection="1"/>
    <xf numFmtId="0" fontId="1" fillId="0" borderId="1" xfId="0" applyFont="1" applyBorder="1"/>
    <xf numFmtId="0" fontId="1" fillId="0" borderId="4" xfId="0" applyFont="1" applyBorder="1" applyAlignment="1">
      <alignment vertical="top" wrapText="1"/>
    </xf>
    <xf numFmtId="0" fontId="41" fillId="30" borderId="59" xfId="0" applyFont="1" applyFill="1" applyBorder="1" applyAlignment="1" applyProtection="1">
      <alignment vertical="center"/>
      <protection locked="0"/>
    </xf>
    <xf numFmtId="0" fontId="1" fillId="31" borderId="62" xfId="0" applyFont="1" applyFill="1" applyBorder="1" applyAlignment="1" applyProtection="1">
      <alignment horizontal="left" vertical="center" indent="1"/>
      <protection locked="0"/>
    </xf>
    <xf numFmtId="0" fontId="1" fillId="32" borderId="63" xfId="0" applyFont="1" applyFill="1" applyBorder="1" applyAlignment="1" applyProtection="1">
      <alignment horizontal="left" vertical="center" indent="1"/>
      <protection locked="0"/>
    </xf>
    <xf numFmtId="0" fontId="1" fillId="32" borderId="63" xfId="0" applyFont="1" applyFill="1" applyBorder="1" applyAlignment="1" applyProtection="1">
      <alignment horizontal="left" vertical="center" indent="2"/>
      <protection locked="0"/>
    </xf>
    <xf numFmtId="0" fontId="41" fillId="30" borderId="64" xfId="0" applyFont="1" applyFill="1" applyBorder="1" applyAlignment="1" applyProtection="1">
      <alignment vertical="center"/>
      <protection locked="0"/>
    </xf>
    <xf numFmtId="0" fontId="1" fillId="33" borderId="59" xfId="0" applyFont="1" applyFill="1" applyBorder="1" applyAlignment="1" applyProtection="1">
      <alignment horizontal="left" vertical="center" indent="1"/>
      <protection locked="0"/>
    </xf>
    <xf numFmtId="0" fontId="1" fillId="32" borderId="59" xfId="0" applyFont="1" applyFill="1" applyBorder="1" applyAlignment="1" applyProtection="1">
      <alignment vertical="center"/>
      <protection locked="0"/>
    </xf>
    <xf numFmtId="0" fontId="1" fillId="34" borderId="59" xfId="0" applyFont="1" applyFill="1" applyBorder="1" applyAlignment="1" applyProtection="1">
      <alignment vertical="center"/>
      <protection locked="0"/>
    </xf>
    <xf numFmtId="0" fontId="1" fillId="31" borderId="59" xfId="0" applyFont="1" applyFill="1" applyBorder="1" applyAlignment="1" applyProtection="1">
      <alignment vertical="center"/>
      <protection locked="0"/>
    </xf>
    <xf numFmtId="0" fontId="1" fillId="33" borderId="59" xfId="0" applyFont="1" applyFill="1" applyBorder="1" applyAlignment="1" applyProtection="1">
      <alignment vertical="center"/>
      <protection locked="0"/>
    </xf>
    <xf numFmtId="0" fontId="1" fillId="3" borderId="59" xfId="0" applyFont="1" applyFill="1" applyBorder="1" applyAlignment="1" applyProtection="1">
      <alignment vertical="center"/>
      <protection locked="0"/>
    </xf>
    <xf numFmtId="0" fontId="1" fillId="35" borderId="59" xfId="0" applyFont="1" applyFill="1" applyBorder="1" applyAlignment="1" applyProtection="1">
      <alignment vertical="center"/>
      <protection locked="0"/>
    </xf>
    <xf numFmtId="0" fontId="1" fillId="34" borderId="65" xfId="0" applyFont="1" applyFill="1" applyBorder="1" applyAlignment="1" applyProtection="1">
      <alignment vertical="center"/>
      <protection locked="0"/>
    </xf>
    <xf numFmtId="0" fontId="1" fillId="34" borderId="66" xfId="0" applyFont="1" applyFill="1" applyBorder="1" applyAlignment="1" applyProtection="1">
      <alignment vertical="center"/>
      <protection locked="0"/>
    </xf>
    <xf numFmtId="0" fontId="1" fillId="32" borderId="67" xfId="0" applyFont="1" applyFill="1" applyBorder="1" applyAlignment="1" applyProtection="1">
      <alignment vertical="center"/>
      <protection locked="0"/>
    </xf>
    <xf numFmtId="1" fontId="1" fillId="0" borderId="1" xfId="0" applyNumberFormat="1" applyFont="1" applyBorder="1"/>
    <xf numFmtId="1" fontId="2" fillId="0" borderId="1" xfId="0" applyNumberFormat="1" applyFont="1" applyBorder="1"/>
    <xf numFmtId="0" fontId="1" fillId="0" borderId="50" xfId="0" applyFont="1" applyBorder="1"/>
    <xf numFmtId="0" fontId="1" fillId="30" borderId="4" xfId="0" applyFont="1" applyFill="1" applyBorder="1"/>
    <xf numFmtId="0" fontId="2" fillId="7" borderId="23" xfId="0" applyFont="1" applyFill="1" applyBorder="1" applyAlignment="1">
      <alignment horizontal="center"/>
    </xf>
    <xf numFmtId="0" fontId="2" fillId="30" borderId="2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top"/>
    </xf>
    <xf numFmtId="0" fontId="1" fillId="16" borderId="59" xfId="0" applyFont="1" applyFill="1" applyBorder="1" applyAlignment="1" applyProtection="1">
      <alignment vertical="center"/>
      <protection locked="0"/>
    </xf>
    <xf numFmtId="0" fontId="1" fillId="36" borderId="59" xfId="0" applyFont="1" applyFill="1" applyBorder="1" applyAlignment="1" applyProtection="1">
      <alignment vertical="center"/>
      <protection locked="0"/>
    </xf>
    <xf numFmtId="0" fontId="1" fillId="36" borderId="67" xfId="0" applyFont="1" applyFill="1" applyBorder="1" applyAlignment="1" applyProtection="1">
      <alignment vertical="center"/>
      <protection locked="0"/>
    </xf>
    <xf numFmtId="0" fontId="36" fillId="37" borderId="20" xfId="0" applyFont="1" applyFill="1" applyBorder="1"/>
    <xf numFmtId="1" fontId="0" fillId="0" borderId="0" xfId="0" applyNumberFormat="1"/>
    <xf numFmtId="168" fontId="0" fillId="0" borderId="0" xfId="0" applyNumberFormat="1"/>
    <xf numFmtId="1" fontId="0" fillId="16" borderId="1" xfId="0" applyNumberFormat="1" applyFill="1" applyBorder="1"/>
    <xf numFmtId="1" fontId="0" fillId="0" borderId="1" xfId="0" applyNumberFormat="1" applyBorder="1"/>
    <xf numFmtId="0" fontId="1" fillId="22" borderId="1" xfId="0" applyFont="1" applyFill="1" applyBorder="1"/>
    <xf numFmtId="1" fontId="0" fillId="22" borderId="1" xfId="0" applyNumberFormat="1" applyFill="1" applyBorder="1"/>
    <xf numFmtId="168" fontId="2" fillId="22" borderId="1" xfId="0" applyNumberFormat="1" applyFont="1" applyFill="1" applyBorder="1"/>
    <xf numFmtId="0" fontId="2" fillId="23" borderId="1" xfId="0" applyFont="1" applyFill="1" applyBorder="1"/>
    <xf numFmtId="168" fontId="2" fillId="23" borderId="1" xfId="0" applyNumberFormat="1" applyFont="1" applyFill="1" applyBorder="1"/>
    <xf numFmtId="169" fontId="2" fillId="23" borderId="1" xfId="0" applyNumberFormat="1" applyFont="1" applyFill="1" applyBorder="1"/>
    <xf numFmtId="165" fontId="0" fillId="17" borderId="68" xfId="0" applyNumberFormat="1" applyFill="1" applyBorder="1"/>
    <xf numFmtId="170" fontId="7" fillId="10" borderId="17" xfId="0" applyNumberFormat="1" applyFont="1" applyFill="1" applyBorder="1"/>
    <xf numFmtId="0" fontId="42" fillId="0" borderId="0" xfId="0" applyFont="1"/>
    <xf numFmtId="0" fontId="38" fillId="28" borderId="0" xfId="0" applyFont="1" applyFill="1" applyBorder="1"/>
    <xf numFmtId="0" fontId="2" fillId="28" borderId="0" xfId="0" applyFont="1" applyFill="1" applyBorder="1"/>
    <xf numFmtId="171" fontId="8" fillId="28" borderId="17" xfId="0" applyNumberFormat="1" applyFont="1" applyFill="1" applyBorder="1" applyAlignment="1">
      <alignment wrapText="1"/>
    </xf>
    <xf numFmtId="171" fontId="7" fillId="28" borderId="17" xfId="0" applyNumberFormat="1" applyFont="1" applyFill="1" applyBorder="1"/>
    <xf numFmtId="0" fontId="0" fillId="28" borderId="28" xfId="0" applyFill="1" applyBorder="1"/>
    <xf numFmtId="0" fontId="0" fillId="28" borderId="0" xfId="0" applyFill="1" applyBorder="1"/>
    <xf numFmtId="0" fontId="43" fillId="16" borderId="0" xfId="0" applyFont="1" applyFill="1" applyBorder="1"/>
    <xf numFmtId="0" fontId="4" fillId="23" borderId="17" xfId="0" applyFont="1" applyFill="1" applyBorder="1" applyAlignment="1">
      <alignment wrapText="1"/>
    </xf>
    <xf numFmtId="165" fontId="3" fillId="23" borderId="17" xfId="0" applyNumberFormat="1" applyFont="1" applyFill="1" applyBorder="1"/>
    <xf numFmtId="171" fontId="3" fillId="23" borderId="17" xfId="0" applyNumberFormat="1" applyFont="1" applyFill="1" applyBorder="1"/>
    <xf numFmtId="172" fontId="3" fillId="23" borderId="17" xfId="0" applyNumberFormat="1" applyFont="1" applyFill="1" applyBorder="1"/>
    <xf numFmtId="0" fontId="2" fillId="16" borderId="0" xfId="0" applyFont="1" applyFill="1" applyBorder="1"/>
    <xf numFmtId="0" fontId="1" fillId="0" borderId="8" xfId="0" applyFont="1" applyBorder="1"/>
    <xf numFmtId="9" fontId="0" fillId="0" borderId="0" xfId="1" applyFont="1"/>
    <xf numFmtId="0" fontId="45" fillId="29" borderId="24" xfId="0" applyFont="1" applyFill="1" applyBorder="1"/>
    <xf numFmtId="0" fontId="46" fillId="29" borderId="3" xfId="0" applyFont="1" applyFill="1" applyBorder="1"/>
    <xf numFmtId="0" fontId="46" fillId="29" borderId="19" xfId="0" applyFont="1" applyFill="1" applyBorder="1"/>
    <xf numFmtId="0" fontId="46" fillId="29" borderId="4" xfId="0" applyFont="1" applyFill="1" applyBorder="1"/>
    <xf numFmtId="0" fontId="46" fillId="29" borderId="21" xfId="0" applyFont="1" applyFill="1" applyBorder="1"/>
    <xf numFmtId="0" fontId="22" fillId="26" borderId="1" xfId="0" applyFont="1" applyFill="1" applyBorder="1"/>
    <xf numFmtId="0" fontId="22" fillId="23" borderId="1" xfId="0" applyFont="1" applyFill="1" applyBorder="1"/>
    <xf numFmtId="0" fontId="2" fillId="17" borderId="5" xfId="0" applyFont="1" applyFill="1" applyBorder="1"/>
    <xf numFmtId="9" fontId="2" fillId="17" borderId="5" xfId="0" applyNumberFormat="1" applyFont="1" applyFill="1" applyBorder="1"/>
    <xf numFmtId="1" fontId="2" fillId="17" borderId="5" xfId="0" applyNumberFormat="1" applyFont="1" applyFill="1" applyBorder="1"/>
    <xf numFmtId="172" fontId="9" fillId="17" borderId="1" xfId="0" applyNumberFormat="1" applyFont="1" applyFill="1" applyBorder="1"/>
    <xf numFmtId="2" fontId="9" fillId="17" borderId="1" xfId="0" applyNumberFormat="1" applyFont="1" applyFill="1" applyBorder="1"/>
    <xf numFmtId="0" fontId="46" fillId="29" borderId="6" xfId="0" applyFont="1" applyFill="1" applyBorder="1"/>
    <xf numFmtId="0" fontId="46" fillId="29" borderId="0" xfId="0" applyFont="1" applyFill="1" applyBorder="1"/>
    <xf numFmtId="0" fontId="9" fillId="23" borderId="5" xfId="0" applyFont="1" applyFill="1" applyBorder="1"/>
    <xf numFmtId="0" fontId="46" fillId="29" borderId="37" xfId="0" applyFont="1" applyFill="1" applyBorder="1"/>
    <xf numFmtId="0" fontId="2" fillId="17" borderId="47" xfId="1" applyNumberFormat="1" applyFont="1" applyFill="1" applyBorder="1"/>
    <xf numFmtId="9" fontId="47" fillId="19" borderId="1" xfId="1" applyFont="1" applyFill="1" applyBorder="1"/>
    <xf numFmtId="172" fontId="47" fillId="19" borderId="1" xfId="3" applyNumberFormat="1" applyFont="1" applyFill="1" applyBorder="1"/>
    <xf numFmtId="172" fontId="47" fillId="39" borderId="1" xfId="3" applyNumberFormat="1" applyFont="1" applyFill="1" applyBorder="1"/>
    <xf numFmtId="0" fontId="47" fillId="38" borderId="0" xfId="0" applyFont="1" applyFill="1"/>
    <xf numFmtId="9" fontId="47" fillId="38" borderId="0" xfId="1" applyFont="1" applyFill="1"/>
    <xf numFmtId="0" fontId="46" fillId="29" borderId="39" xfId="0" applyFont="1" applyFill="1" applyBorder="1"/>
    <xf numFmtId="172" fontId="9" fillId="17" borderId="9" xfId="0" applyNumberFormat="1" applyFont="1" applyFill="1" applyBorder="1"/>
    <xf numFmtId="172" fontId="9" fillId="22" borderId="9" xfId="0" applyNumberFormat="1" applyFont="1" applyFill="1" applyBorder="1"/>
    <xf numFmtId="172" fontId="47" fillId="19" borderId="24" xfId="0" applyNumberFormat="1" applyFont="1" applyFill="1" applyBorder="1"/>
    <xf numFmtId="172" fontId="47" fillId="19" borderId="19" xfId="0" applyNumberFormat="1" applyFont="1" applyFill="1" applyBorder="1"/>
    <xf numFmtId="9" fontId="47" fillId="38" borderId="51" xfId="1" applyFont="1" applyFill="1" applyBorder="1"/>
    <xf numFmtId="9" fontId="47" fillId="38" borderId="52" xfId="1" applyFont="1" applyFill="1" applyBorder="1"/>
    <xf numFmtId="0" fontId="4" fillId="23" borderId="1" xfId="0" applyFont="1" applyFill="1" applyBorder="1"/>
    <xf numFmtId="172" fontId="4" fillId="17" borderId="1" xfId="0" applyNumberFormat="1" applyFont="1" applyFill="1" applyBorder="1"/>
    <xf numFmtId="172" fontId="4" fillId="22" borderId="1" xfId="0" applyNumberFormat="1" applyFont="1" applyFill="1" applyBorder="1"/>
    <xf numFmtId="2" fontId="4" fillId="17" borderId="1" xfId="0" applyNumberFormat="1" applyFont="1" applyFill="1" applyBorder="1"/>
    <xf numFmtId="2" fontId="4" fillId="17" borderId="25" xfId="0" applyNumberFormat="1" applyFont="1" applyFill="1" applyBorder="1"/>
    <xf numFmtId="9" fontId="4" fillId="0" borderId="1" xfId="1" applyFont="1" applyBorder="1"/>
    <xf numFmtId="172" fontId="47" fillId="39" borderId="24" xfId="3" applyNumberFormat="1" applyFont="1" applyFill="1" applyBorder="1"/>
    <xf numFmtId="172" fontId="47" fillId="39" borderId="3" xfId="3" applyNumberFormat="1" applyFont="1" applyFill="1" applyBorder="1"/>
    <xf numFmtId="172" fontId="47" fillId="39" borderId="19" xfId="3" applyNumberFormat="1" applyFont="1" applyFill="1" applyBorder="1"/>
    <xf numFmtId="0" fontId="46" fillId="29" borderId="20" xfId="0" applyFont="1" applyFill="1" applyBorder="1"/>
    <xf numFmtId="2" fontId="4" fillId="22" borderId="20" xfId="0" applyNumberFormat="1" applyFont="1" applyFill="1" applyBorder="1"/>
    <xf numFmtId="0" fontId="2" fillId="22" borderId="22" xfId="1" applyNumberFormat="1" applyFont="1" applyFill="1" applyBorder="1"/>
    <xf numFmtId="0" fontId="22" fillId="23" borderId="24" xfId="0" applyFont="1" applyFill="1" applyBorder="1"/>
    <xf numFmtId="0" fontId="22" fillId="23" borderId="3" xfId="0" applyFont="1" applyFill="1" applyBorder="1"/>
    <xf numFmtId="0" fontId="22" fillId="23" borderId="19" xfId="0" applyFont="1" applyFill="1" applyBorder="1"/>
    <xf numFmtId="0" fontId="22" fillId="23" borderId="4" xfId="0" applyFont="1" applyFill="1" applyBorder="1"/>
    <xf numFmtId="0" fontId="22" fillId="23" borderId="20" xfId="0" applyFont="1" applyFill="1" applyBorder="1"/>
    <xf numFmtId="0" fontId="9" fillId="23" borderId="21" xfId="0" applyFont="1" applyFill="1" applyBorder="1"/>
    <xf numFmtId="0" fontId="22" fillId="23" borderId="22" xfId="0" applyFont="1" applyFill="1" applyBorder="1"/>
    <xf numFmtId="9" fontId="4" fillId="23" borderId="1" xfId="1" applyFont="1" applyFill="1" applyBorder="1"/>
    <xf numFmtId="172" fontId="22" fillId="23" borderId="12" xfId="0" applyNumberFormat="1" applyFont="1" applyFill="1" applyBorder="1"/>
    <xf numFmtId="9" fontId="9" fillId="17" borderId="1" xfId="1" applyFont="1" applyFill="1" applyBorder="1"/>
    <xf numFmtId="0" fontId="1" fillId="26" borderId="1" xfId="0" applyFont="1" applyFill="1" applyBorder="1"/>
    <xf numFmtId="0" fontId="0" fillId="26" borderId="1" xfId="0" applyFill="1" applyBorder="1"/>
    <xf numFmtId="172" fontId="38" fillId="40" borderId="1" xfId="3" applyNumberFormat="1" applyFont="1" applyFill="1" applyBorder="1"/>
    <xf numFmtId="172" fontId="38" fillId="40" borderId="1" xfId="0" applyNumberFormat="1" applyFont="1" applyFill="1" applyBorder="1"/>
    <xf numFmtId="0" fontId="47" fillId="39" borderId="1" xfId="3" applyNumberFormat="1" applyFont="1" applyFill="1" applyBorder="1"/>
    <xf numFmtId="0" fontId="47" fillId="39" borderId="1" xfId="3" applyNumberFormat="1" applyFont="1" applyFill="1" applyBorder="1" applyAlignment="1">
      <alignment horizontal="right"/>
    </xf>
    <xf numFmtId="0" fontId="38" fillId="40" borderId="1" xfId="0" applyNumberFormat="1" applyFont="1" applyFill="1" applyBorder="1" applyAlignment="1">
      <alignment horizontal="right"/>
    </xf>
    <xf numFmtId="0" fontId="48" fillId="23" borderId="1" xfId="0" applyFont="1" applyFill="1" applyBorder="1"/>
    <xf numFmtId="172" fontId="48" fillId="17" borderId="1" xfId="0" applyNumberFormat="1" applyFont="1" applyFill="1" applyBorder="1"/>
    <xf numFmtId="2" fontId="49" fillId="17" borderId="1" xfId="0" applyNumberFormat="1" applyFont="1" applyFill="1" applyBorder="1"/>
    <xf numFmtId="172" fontId="49" fillId="17" borderId="1" xfId="0" applyNumberFormat="1" applyFont="1" applyFill="1" applyBorder="1"/>
    <xf numFmtId="0" fontId="49" fillId="17" borderId="1" xfId="0" applyFont="1" applyFill="1" applyBorder="1"/>
    <xf numFmtId="172" fontId="3" fillId="17" borderId="1" xfId="0" applyNumberFormat="1" applyFont="1" applyFill="1" applyBorder="1"/>
    <xf numFmtId="0" fontId="48" fillId="0" borderId="1" xfId="0" applyFont="1" applyBorder="1"/>
    <xf numFmtId="172" fontId="9" fillId="23" borderId="41" xfId="0" applyNumberFormat="1" applyFont="1" applyFill="1" applyBorder="1"/>
    <xf numFmtId="172" fontId="38" fillId="42" borderId="24" xfId="0" applyNumberFormat="1" applyFont="1" applyFill="1" applyBorder="1"/>
    <xf numFmtId="0" fontId="38" fillId="42" borderId="24" xfId="0" applyNumberFormat="1" applyFont="1" applyFill="1" applyBorder="1" applyAlignment="1">
      <alignment horizontal="right"/>
    </xf>
    <xf numFmtId="172" fontId="38" fillId="19" borderId="19" xfId="0" applyNumberFormat="1" applyFont="1" applyFill="1" applyBorder="1"/>
    <xf numFmtId="172" fontId="38" fillId="41" borderId="19" xfId="0" applyNumberFormat="1" applyFont="1" applyFill="1" applyBorder="1"/>
    <xf numFmtId="172" fontId="47" fillId="41" borderId="19" xfId="0" applyNumberFormat="1" applyFont="1" applyFill="1" applyBorder="1"/>
    <xf numFmtId="2" fontId="47" fillId="19" borderId="19" xfId="0" applyNumberFormat="1" applyFont="1" applyFill="1" applyBorder="1"/>
    <xf numFmtId="0" fontId="2" fillId="22" borderId="1" xfId="0" applyFont="1" applyFill="1" applyBorder="1"/>
    <xf numFmtId="172" fontId="3" fillId="26" borderId="1" xfId="0" applyNumberFormat="1" applyFont="1" applyFill="1" applyBorder="1"/>
    <xf numFmtId="172" fontId="22" fillId="26" borderId="1" xfId="0" applyNumberFormat="1" applyFont="1" applyFill="1" applyBorder="1"/>
    <xf numFmtId="172" fontId="22" fillId="26" borderId="20" xfId="0" applyNumberFormat="1" applyFont="1" applyFill="1" applyBorder="1"/>
    <xf numFmtId="172" fontId="22" fillId="26" borderId="5" xfId="0" applyNumberFormat="1" applyFont="1" applyFill="1" applyBorder="1"/>
    <xf numFmtId="172" fontId="22" fillId="26" borderId="22" xfId="0" applyNumberFormat="1" applyFont="1" applyFill="1" applyBorder="1"/>
    <xf numFmtId="0" fontId="4" fillId="17" borderId="1" xfId="0" applyNumberFormat="1" applyFont="1" applyFill="1" applyBorder="1"/>
    <xf numFmtId="172" fontId="4" fillId="22" borderId="20" xfId="0" applyNumberFormat="1" applyFont="1" applyFill="1" applyBorder="1"/>
    <xf numFmtId="0" fontId="22" fillId="23" borderId="5" xfId="0" applyFont="1" applyFill="1" applyBorder="1"/>
    <xf numFmtId="172" fontId="9" fillId="17" borderId="5" xfId="0" applyNumberFormat="1" applyFont="1" applyFill="1" applyBorder="1"/>
    <xf numFmtId="0" fontId="3" fillId="17" borderId="5" xfId="0" applyNumberFormat="1" applyFont="1" applyFill="1" applyBorder="1"/>
    <xf numFmtId="0" fontId="9" fillId="17" borderId="5" xfId="0" applyNumberFormat="1" applyFont="1" applyFill="1" applyBorder="1"/>
    <xf numFmtId="0" fontId="46" fillId="37" borderId="4" xfId="0" applyFont="1" applyFill="1" applyBorder="1"/>
    <xf numFmtId="165" fontId="4" fillId="17" borderId="1" xfId="0" applyNumberFormat="1" applyFont="1" applyFill="1" applyBorder="1"/>
    <xf numFmtId="0" fontId="4" fillId="17" borderId="25" xfId="0" applyNumberFormat="1" applyFont="1" applyFill="1" applyBorder="1"/>
    <xf numFmtId="0" fontId="4" fillId="22" borderId="20" xfId="0" applyNumberFormat="1" applyFont="1" applyFill="1" applyBorder="1"/>
    <xf numFmtId="172" fontId="47" fillId="39" borderId="48" xfId="3" applyNumberFormat="1" applyFont="1" applyFill="1" applyBorder="1"/>
    <xf numFmtId="172" fontId="47" fillId="39" borderId="33" xfId="3" applyNumberFormat="1" applyFont="1" applyFill="1" applyBorder="1"/>
    <xf numFmtId="172" fontId="47" fillId="39" borderId="69" xfId="3" applyNumberFormat="1" applyFont="1" applyFill="1" applyBorder="1"/>
    <xf numFmtId="0" fontId="46" fillId="29" borderId="24" xfId="0" applyFont="1" applyFill="1" applyBorder="1"/>
    <xf numFmtId="0" fontId="3" fillId="17" borderId="47" xfId="0" applyNumberFormat="1" applyFont="1" applyFill="1" applyBorder="1"/>
    <xf numFmtId="2" fontId="38" fillId="19" borderId="46" xfId="0" applyNumberFormat="1" applyFont="1" applyFill="1" applyBorder="1"/>
    <xf numFmtId="9" fontId="4" fillId="26" borderId="1" xfId="1" applyFont="1" applyFill="1" applyBorder="1"/>
    <xf numFmtId="0" fontId="22" fillId="26" borderId="3" xfId="0" applyFont="1" applyFill="1" applyBorder="1"/>
    <xf numFmtId="0" fontId="4" fillId="26" borderId="1" xfId="0" applyFont="1" applyFill="1" applyBorder="1"/>
    <xf numFmtId="0" fontId="9" fillId="26" borderId="5" xfId="0" applyFont="1" applyFill="1" applyBorder="1"/>
    <xf numFmtId="0" fontId="46" fillId="29" borderId="25" xfId="0" applyFont="1" applyFill="1" applyBorder="1"/>
    <xf numFmtId="2" fontId="4" fillId="22" borderId="25" xfId="0" applyNumberFormat="1" applyFont="1" applyFill="1" applyBorder="1"/>
    <xf numFmtId="0" fontId="2" fillId="22" borderId="47" xfId="1" applyNumberFormat="1" applyFont="1" applyFill="1" applyBorder="1"/>
    <xf numFmtId="0" fontId="9" fillId="17" borderId="5" xfId="0" applyFont="1" applyFill="1" applyBorder="1"/>
    <xf numFmtId="172" fontId="2" fillId="26" borderId="1" xfId="0" applyNumberFormat="1" applyFont="1" applyFill="1" applyBorder="1"/>
    <xf numFmtId="0" fontId="1" fillId="17" borderId="1" xfId="0" applyFont="1" applyFill="1" applyBorder="1"/>
    <xf numFmtId="172" fontId="1" fillId="17" borderId="1" xfId="0" applyNumberFormat="1" applyFont="1" applyFill="1" applyBorder="1"/>
    <xf numFmtId="165" fontId="1" fillId="17" borderId="1" xfId="0" applyNumberFormat="1" applyFont="1" applyFill="1" applyBorder="1"/>
    <xf numFmtId="0" fontId="1" fillId="17" borderId="25" xfId="0" applyFont="1" applyFill="1" applyBorder="1"/>
    <xf numFmtId="0" fontId="1" fillId="22" borderId="20" xfId="0" applyFont="1" applyFill="1" applyBorder="1"/>
    <xf numFmtId="172" fontId="1" fillId="22" borderId="20" xfId="0" applyNumberFormat="1" applyFont="1" applyFill="1" applyBorder="1"/>
    <xf numFmtId="0" fontId="1" fillId="23" borderId="5" xfId="0" applyFont="1" applyFill="1" applyBorder="1"/>
    <xf numFmtId="172" fontId="2" fillId="17" borderId="5" xfId="0" applyNumberFormat="1" applyFont="1" applyFill="1" applyBorder="1"/>
    <xf numFmtId="0" fontId="2" fillId="17" borderId="47" xfId="0" applyFont="1" applyFill="1" applyBorder="1"/>
    <xf numFmtId="0" fontId="2" fillId="22" borderId="61" xfId="0" applyFont="1" applyFill="1" applyBorder="1"/>
    <xf numFmtId="172" fontId="2" fillId="19" borderId="22" xfId="0" applyNumberFormat="1" applyFont="1" applyFill="1" applyBorder="1"/>
    <xf numFmtId="172" fontId="47" fillId="19" borderId="52" xfId="0" applyNumberFormat="1" applyFont="1" applyFill="1" applyBorder="1"/>
    <xf numFmtId="172" fontId="9" fillId="43" borderId="1" xfId="3" applyNumberFormat="1" applyFont="1" applyFill="1" applyBorder="1"/>
    <xf numFmtId="172" fontId="38" fillId="39" borderId="24" xfId="3" applyNumberFormat="1" applyFont="1" applyFill="1" applyBorder="1"/>
    <xf numFmtId="172" fontId="38" fillId="39" borderId="3" xfId="3" applyNumberFormat="1" applyFont="1" applyFill="1" applyBorder="1"/>
    <xf numFmtId="172" fontId="38" fillId="39" borderId="19" xfId="3" applyNumberFormat="1" applyFont="1" applyFill="1" applyBorder="1"/>
    <xf numFmtId="172" fontId="47" fillId="44" borderId="24" xfId="3" applyNumberFormat="1" applyFont="1" applyFill="1" applyBorder="1"/>
    <xf numFmtId="172" fontId="47" fillId="44" borderId="16" xfId="3" applyNumberFormat="1" applyFont="1" applyFill="1" applyBorder="1"/>
    <xf numFmtId="1" fontId="47" fillId="39" borderId="1" xfId="3" applyNumberFormat="1" applyFont="1" applyFill="1" applyBorder="1" applyAlignment="1">
      <alignment horizontal="right"/>
    </xf>
    <xf numFmtId="1" fontId="47" fillId="39" borderId="1" xfId="3" applyNumberFormat="1" applyFont="1" applyFill="1" applyBorder="1"/>
    <xf numFmtId="1" fontId="38" fillId="40" borderId="1" xfId="0" applyNumberFormat="1" applyFont="1" applyFill="1" applyBorder="1" applyAlignment="1">
      <alignment horizontal="right"/>
    </xf>
    <xf numFmtId="1" fontId="38" fillId="42" borderId="24" xfId="0" applyNumberFormat="1" applyFont="1" applyFill="1" applyBorder="1" applyAlignment="1">
      <alignment horizontal="right"/>
    </xf>
    <xf numFmtId="1" fontId="47" fillId="19" borderId="19" xfId="0" applyNumberFormat="1" applyFont="1" applyFill="1" applyBorder="1"/>
    <xf numFmtId="172" fontId="9" fillId="26" borderId="1" xfId="0" applyNumberFormat="1" applyFont="1" applyFill="1" applyBorder="1"/>
    <xf numFmtId="0" fontId="0" fillId="18" borderId="0" xfId="0" applyFill="1" applyBorder="1"/>
    <xf numFmtId="0" fontId="1" fillId="18" borderId="8" xfId="0" applyFont="1" applyFill="1" applyBorder="1"/>
    <xf numFmtId="0" fontId="0" fillId="18" borderId="36" xfId="0" applyFill="1" applyBorder="1"/>
    <xf numFmtId="0" fontId="0" fillId="18" borderId="35" xfId="0" applyFill="1" applyBorder="1"/>
    <xf numFmtId="0" fontId="0" fillId="18" borderId="54" xfId="0" applyFill="1" applyBorder="1"/>
    <xf numFmtId="0" fontId="0" fillId="18" borderId="55" xfId="0" applyFill="1" applyBorder="1"/>
    <xf numFmtId="0" fontId="0" fillId="18" borderId="56" xfId="0" applyFill="1" applyBorder="1"/>
    <xf numFmtId="0" fontId="47" fillId="38" borderId="0" xfId="0" applyFont="1" applyFill="1" applyBorder="1"/>
    <xf numFmtId="9" fontId="47" fillId="38" borderId="0" xfId="1" applyFont="1" applyFill="1" applyBorder="1"/>
    <xf numFmtId="0" fontId="1" fillId="18" borderId="0" xfId="0" applyFont="1" applyFill="1" applyBorder="1"/>
    <xf numFmtId="172" fontId="0" fillId="18" borderId="0" xfId="0" applyNumberFormat="1" applyFill="1" applyBorder="1"/>
    <xf numFmtId="0" fontId="0" fillId="18" borderId="51" xfId="0" applyFill="1" applyBorder="1"/>
    <xf numFmtId="0" fontId="0" fillId="18" borderId="50" xfId="0" applyFill="1" applyBorder="1"/>
    <xf numFmtId="0" fontId="0" fillId="18" borderId="52" xfId="0" applyFill="1" applyBorder="1"/>
    <xf numFmtId="1" fontId="4" fillId="17" borderId="20" xfId="0" applyNumberFormat="1" applyFont="1" applyFill="1" applyBorder="1"/>
    <xf numFmtId="1" fontId="3" fillId="17" borderId="22" xfId="0" applyNumberFormat="1" applyFont="1" applyFill="1" applyBorder="1"/>
    <xf numFmtId="165" fontId="38" fillId="19" borderId="61" xfId="0" applyNumberFormat="1" applyFont="1" applyFill="1" applyBorder="1"/>
    <xf numFmtId="172" fontId="47" fillId="19" borderId="41" xfId="0" applyNumberFormat="1" applyFont="1" applyFill="1" applyBorder="1"/>
    <xf numFmtId="172" fontId="47" fillId="19" borderId="12" xfId="0" applyNumberFormat="1" applyFont="1" applyFill="1" applyBorder="1"/>
    <xf numFmtId="9" fontId="4" fillId="26" borderId="20" xfId="1" applyFont="1" applyFill="1" applyBorder="1"/>
    <xf numFmtId="2" fontId="9" fillId="17" borderId="21" xfId="0" applyNumberFormat="1" applyFont="1" applyFill="1" applyBorder="1"/>
    <xf numFmtId="2" fontId="9" fillId="17" borderId="5" xfId="0" applyNumberFormat="1" applyFont="1" applyFill="1" applyBorder="1"/>
    <xf numFmtId="9" fontId="9" fillId="17" borderId="22" xfId="1" applyFont="1" applyFill="1" applyBorder="1"/>
    <xf numFmtId="0" fontId="2" fillId="22" borderId="24" xfId="0" applyFont="1" applyFill="1" applyBorder="1"/>
    <xf numFmtId="0" fontId="2" fillId="22" borderId="3" xfId="0" applyFont="1" applyFill="1" applyBorder="1"/>
    <xf numFmtId="0" fontId="2" fillId="22" borderId="19" xfId="0" applyFont="1" applyFill="1" applyBorder="1"/>
    <xf numFmtId="172" fontId="47" fillId="39" borderId="4" xfId="3" applyNumberFormat="1" applyFont="1" applyFill="1" applyBorder="1"/>
    <xf numFmtId="1" fontId="47" fillId="39" borderId="20" xfId="3" applyNumberFormat="1" applyFont="1" applyFill="1" applyBorder="1" applyAlignment="1">
      <alignment horizontal="right"/>
    </xf>
    <xf numFmtId="1" fontId="47" fillId="39" borderId="20" xfId="3" applyNumberFormat="1" applyFont="1" applyFill="1" applyBorder="1"/>
    <xf numFmtId="172" fontId="38" fillId="40" borderId="4" xfId="3" applyNumberFormat="1" applyFont="1" applyFill="1" applyBorder="1"/>
    <xf numFmtId="1" fontId="38" fillId="40" borderId="20" xfId="0" applyNumberFormat="1" applyFont="1" applyFill="1" applyBorder="1" applyAlignment="1">
      <alignment horizontal="right"/>
    </xf>
    <xf numFmtId="1" fontId="38" fillId="42" borderId="40" xfId="0" applyNumberFormat="1" applyFont="1" applyFill="1" applyBorder="1" applyAlignment="1">
      <alignment horizontal="right"/>
    </xf>
    <xf numFmtId="172" fontId="38" fillId="19" borderId="40" xfId="0" applyNumberFormat="1" applyFont="1" applyFill="1" applyBorder="1"/>
    <xf numFmtId="172" fontId="38" fillId="41" borderId="41" xfId="0" applyNumberFormat="1" applyFont="1" applyFill="1" applyBorder="1"/>
    <xf numFmtId="172" fontId="47" fillId="41" borderId="12" xfId="0" applyNumberFormat="1" applyFont="1" applyFill="1" applyBorder="1"/>
    <xf numFmtId="172" fontId="47" fillId="44" borderId="51" xfId="3" applyNumberFormat="1" applyFont="1" applyFill="1" applyBorder="1"/>
    <xf numFmtId="172" fontId="47" fillId="44" borderId="50" xfId="3" applyNumberFormat="1" applyFont="1" applyFill="1" applyBorder="1"/>
    <xf numFmtId="172" fontId="3" fillId="22" borderId="20" xfId="0" applyNumberFormat="1" applyFont="1" applyFill="1" applyBorder="1"/>
    <xf numFmtId="172" fontId="45" fillId="45" borderId="45" xfId="0" applyNumberFormat="1" applyFont="1" applyFill="1" applyBorder="1"/>
    <xf numFmtId="2" fontId="38" fillId="19" borderId="19" xfId="0" applyNumberFormat="1" applyFont="1" applyFill="1" applyBorder="1"/>
    <xf numFmtId="9" fontId="0" fillId="18" borderId="0" xfId="1" applyFont="1" applyFill="1" applyBorder="1"/>
    <xf numFmtId="0" fontId="2" fillId="28" borderId="1" xfId="0" applyFont="1" applyFill="1" applyBorder="1"/>
    <xf numFmtId="0" fontId="47" fillId="39" borderId="4" xfId="3" applyNumberFormat="1" applyFont="1" applyFill="1" applyBorder="1"/>
    <xf numFmtId="0" fontId="1" fillId="0" borderId="0" xfId="0" applyFont="1"/>
    <xf numFmtId="0" fontId="16" fillId="4" borderId="0" xfId="0" applyFont="1" applyFill="1" applyAlignment="1" applyProtection="1">
      <alignment horizontal="center"/>
      <protection hidden="1"/>
    </xf>
    <xf numFmtId="0" fontId="27" fillId="18" borderId="36" xfId="0" applyFont="1" applyFill="1" applyBorder="1" applyAlignment="1">
      <alignment wrapText="1"/>
    </xf>
    <xf numFmtId="0" fontId="27" fillId="18" borderId="54" xfId="0" applyFont="1" applyFill="1" applyBorder="1" applyAlignment="1">
      <alignment wrapText="1"/>
    </xf>
    <xf numFmtId="0" fontId="27" fillId="18" borderId="55" xfId="0" applyFont="1" applyFill="1" applyBorder="1" applyAlignment="1">
      <alignment wrapText="1"/>
    </xf>
    <xf numFmtId="0" fontId="27" fillId="18" borderId="56" xfId="0" applyFont="1" applyFill="1" applyBorder="1" applyAlignment="1">
      <alignment wrapText="1"/>
    </xf>
    <xf numFmtId="0" fontId="27" fillId="18" borderId="51" xfId="0" applyFont="1" applyFill="1" applyBorder="1" applyAlignment="1">
      <alignment wrapText="1"/>
    </xf>
    <xf numFmtId="0" fontId="27" fillId="18" borderId="52" xfId="0" applyFont="1" applyFill="1" applyBorder="1" applyAlignment="1">
      <alignment wrapText="1"/>
    </xf>
    <xf numFmtId="0" fontId="28" fillId="18" borderId="36" xfId="0" applyFont="1" applyFill="1" applyBorder="1" applyAlignment="1">
      <alignment horizontal="center" wrapText="1"/>
    </xf>
    <xf numFmtId="0" fontId="28" fillId="18" borderId="54" xfId="0" applyFont="1" applyFill="1" applyBorder="1" applyAlignment="1">
      <alignment horizontal="center" wrapText="1"/>
    </xf>
    <xf numFmtId="0" fontId="11" fillId="18" borderId="36" xfId="0" applyFont="1" applyFill="1" applyBorder="1" applyAlignment="1">
      <alignment horizontal="center" wrapText="1"/>
    </xf>
    <xf numFmtId="0" fontId="11" fillId="18" borderId="54" xfId="0" applyFont="1" applyFill="1" applyBorder="1" applyAlignment="1">
      <alignment horizontal="center" wrapText="1"/>
    </xf>
    <xf numFmtId="0" fontId="28" fillId="18" borderId="55" xfId="0" applyFont="1" applyFill="1" applyBorder="1" applyAlignment="1">
      <alignment horizontal="center" wrapText="1"/>
    </xf>
    <xf numFmtId="0" fontId="28" fillId="18" borderId="56" xfId="0" applyFont="1" applyFill="1" applyBorder="1" applyAlignment="1">
      <alignment horizontal="center" wrapText="1"/>
    </xf>
    <xf numFmtId="0" fontId="11" fillId="18" borderId="51" xfId="0" applyFont="1" applyFill="1" applyBorder="1" applyAlignment="1">
      <alignment horizontal="center" wrapText="1"/>
    </xf>
    <xf numFmtId="0" fontId="11" fillId="18" borderId="52" xfId="0" applyFont="1" applyFill="1" applyBorder="1" applyAlignment="1">
      <alignment horizontal="center" wrapText="1"/>
    </xf>
    <xf numFmtId="0" fontId="0" fillId="18" borderId="55" xfId="0" applyFill="1" applyBorder="1" applyAlignment="1">
      <alignment wrapText="1"/>
    </xf>
    <xf numFmtId="0" fontId="0" fillId="18" borderId="56" xfId="0" applyFill="1" applyBorder="1" applyAlignment="1">
      <alignment wrapText="1"/>
    </xf>
    <xf numFmtId="0" fontId="11" fillId="18" borderId="36" xfId="0" applyFont="1" applyFill="1" applyBorder="1" applyAlignment="1">
      <alignment horizontal="center" vertical="center" wrapText="1"/>
    </xf>
    <xf numFmtId="0" fontId="11" fillId="18" borderId="54" xfId="0" applyFont="1" applyFill="1" applyBorder="1" applyAlignment="1">
      <alignment horizontal="center" vertical="center" wrapText="1"/>
    </xf>
    <xf numFmtId="0" fontId="11" fillId="18" borderId="51" xfId="0" applyFont="1" applyFill="1" applyBorder="1" applyAlignment="1">
      <alignment horizontal="center" vertical="center" wrapText="1"/>
    </xf>
    <xf numFmtId="0" fontId="11" fillId="18" borderId="52" xfId="0" applyFont="1" applyFill="1" applyBorder="1" applyAlignment="1">
      <alignment horizontal="center" vertical="center" wrapText="1"/>
    </xf>
    <xf numFmtId="0" fontId="0" fillId="18" borderId="51" xfId="0" applyFill="1" applyBorder="1" applyAlignment="1">
      <alignment wrapText="1"/>
    </xf>
    <xf numFmtId="0" fontId="0" fillId="18" borderId="52" xfId="0" applyFill="1" applyBorder="1" applyAlignment="1">
      <alignment wrapText="1"/>
    </xf>
    <xf numFmtId="0" fontId="11" fillId="18" borderId="27" xfId="0" applyFont="1" applyFill="1" applyBorder="1" applyAlignment="1">
      <alignment horizontal="center" wrapText="1"/>
    </xf>
    <xf numFmtId="0" fontId="11" fillId="18" borderId="28" xfId="0" applyFont="1" applyFill="1" applyBorder="1" applyAlignment="1">
      <alignment horizontal="center" wrapText="1"/>
    </xf>
    <xf numFmtId="0" fontId="11" fillId="18" borderId="29" xfId="0" applyFont="1" applyFill="1" applyBorder="1" applyAlignment="1">
      <alignment horizontal="center" wrapText="1"/>
    </xf>
    <xf numFmtId="0" fontId="27" fillId="0" borderId="36" xfId="0" applyFont="1" applyBorder="1" applyAlignment="1">
      <alignment wrapText="1"/>
    </xf>
    <xf numFmtId="0" fontId="27" fillId="0" borderId="54" xfId="0" applyFont="1" applyBorder="1" applyAlignment="1">
      <alignment wrapText="1"/>
    </xf>
    <xf numFmtId="0" fontId="27" fillId="0" borderId="55" xfId="0" applyFont="1" applyBorder="1" applyAlignment="1">
      <alignment wrapText="1"/>
    </xf>
    <xf numFmtId="0" fontId="27" fillId="0" borderId="56" xfId="0" applyFont="1" applyBorder="1" applyAlignment="1">
      <alignment wrapText="1"/>
    </xf>
    <xf numFmtId="0" fontId="27" fillId="0" borderId="51" xfId="0" applyFont="1" applyBorder="1" applyAlignment="1">
      <alignment wrapText="1"/>
    </xf>
    <xf numFmtId="0" fontId="27" fillId="0" borderId="52" xfId="0" applyFont="1" applyBorder="1" applyAlignment="1">
      <alignment wrapText="1"/>
    </xf>
    <xf numFmtId="0" fontId="28" fillId="13" borderId="36" xfId="0" applyFont="1" applyFill="1" applyBorder="1" applyAlignment="1">
      <alignment horizontal="center" wrapText="1"/>
    </xf>
    <xf numFmtId="0" fontId="28" fillId="13" borderId="54" xfId="0" applyFont="1" applyFill="1" applyBorder="1" applyAlignment="1">
      <alignment horizontal="center" wrapText="1"/>
    </xf>
    <xf numFmtId="0" fontId="28" fillId="13" borderId="55" xfId="0" applyFont="1" applyFill="1" applyBorder="1" applyAlignment="1">
      <alignment horizontal="center" wrapText="1"/>
    </xf>
    <xf numFmtId="0" fontId="28" fillId="13" borderId="56" xfId="0" applyFont="1" applyFill="1" applyBorder="1" applyAlignment="1">
      <alignment horizontal="center" wrapText="1"/>
    </xf>
    <xf numFmtId="0" fontId="0" fillId="13" borderId="55" xfId="0" applyFill="1" applyBorder="1" applyAlignment="1">
      <alignment wrapText="1"/>
    </xf>
    <xf numFmtId="0" fontId="0" fillId="13" borderId="56" xfId="0" applyFill="1" applyBorder="1" applyAlignment="1">
      <alignment wrapText="1"/>
    </xf>
    <xf numFmtId="0" fontId="0" fillId="13" borderId="51" xfId="0" applyFill="1" applyBorder="1" applyAlignment="1">
      <alignment wrapText="1"/>
    </xf>
    <xf numFmtId="0" fontId="0" fillId="13" borderId="52" xfId="0" applyFill="1" applyBorder="1" applyAlignment="1">
      <alignment wrapText="1"/>
    </xf>
    <xf numFmtId="0" fontId="11" fillId="0" borderId="27" xfId="0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1" fillId="0" borderId="54" xfId="0" applyFont="1" applyBorder="1" applyAlignment="1">
      <alignment horizontal="center" wrapText="1"/>
    </xf>
    <xf numFmtId="0" fontId="11" fillId="0" borderId="51" xfId="0" applyFont="1" applyBorder="1" applyAlignment="1">
      <alignment horizontal="center" wrapText="1"/>
    </xf>
    <xf numFmtId="0" fontId="11" fillId="0" borderId="50" xfId="0" applyFont="1" applyBorder="1" applyAlignment="1">
      <alignment horizontal="center" wrapText="1"/>
    </xf>
    <xf numFmtId="0" fontId="11" fillId="0" borderId="52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16" fillId="4" borderId="0" xfId="0" applyFont="1" applyFill="1" applyAlignment="1">
      <alignment horizontal="center"/>
    </xf>
    <xf numFmtId="0" fontId="11" fillId="13" borderId="36" xfId="0" applyFont="1" applyFill="1" applyBorder="1" applyAlignment="1">
      <alignment horizontal="center" wrapText="1"/>
    </xf>
    <xf numFmtId="0" fontId="11" fillId="13" borderId="54" xfId="0" applyFont="1" applyFill="1" applyBorder="1" applyAlignment="1">
      <alignment horizontal="center" wrapText="1"/>
    </xf>
    <xf numFmtId="0" fontId="11" fillId="13" borderId="51" xfId="0" applyFont="1" applyFill="1" applyBorder="1" applyAlignment="1">
      <alignment horizontal="center" wrapText="1"/>
    </xf>
    <xf numFmtId="0" fontId="11" fillId="13" borderId="52" xfId="0" applyFont="1" applyFill="1" applyBorder="1" applyAlignment="1">
      <alignment horizontal="center" wrapText="1"/>
    </xf>
    <xf numFmtId="0" fontId="11" fillId="13" borderId="36" xfId="0" applyFont="1" applyFill="1" applyBorder="1" applyAlignment="1">
      <alignment horizontal="center" vertical="center" wrapText="1"/>
    </xf>
    <xf numFmtId="0" fontId="11" fillId="13" borderId="54" xfId="0" applyFont="1" applyFill="1" applyBorder="1" applyAlignment="1">
      <alignment horizontal="center" vertical="center" wrapText="1"/>
    </xf>
    <xf numFmtId="0" fontId="11" fillId="13" borderId="51" xfId="0" applyFont="1" applyFill="1" applyBorder="1" applyAlignment="1">
      <alignment horizontal="center" vertical="center" wrapText="1"/>
    </xf>
    <xf numFmtId="0" fontId="11" fillId="13" borderId="5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15" borderId="57" xfId="0" applyFont="1" applyFill="1" applyBorder="1" applyAlignment="1"/>
    <xf numFmtId="0" fontId="21" fillId="15" borderId="30" xfId="0" applyFont="1" applyFill="1" applyBorder="1" applyAlignment="1"/>
    <xf numFmtId="0" fontId="21" fillId="15" borderId="58" xfId="0" applyFont="1" applyFill="1" applyBorder="1" applyAlignment="1"/>
  </cellXfs>
  <cellStyles count="4">
    <cellStyle name="Currency" xfId="3" builtinId="4"/>
    <cellStyle name="Normal" xfId="0" builtinId="0"/>
    <cellStyle name="Normal_BackLog" xfId="2"/>
    <cellStyle name="Percent" xfId="1" builtinId="5"/>
  </cellStyles>
  <dxfs count="13"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gray0625">
          <bgColor indexed="22"/>
        </patternFill>
      </fill>
    </dxf>
    <dxf>
      <font>
        <condense val="0"/>
        <extend val="0"/>
        <color indexed="10"/>
      </font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2147483672"/>
  <ax:ocxPr ax:name="Caption" ax:value="Calcular Fecha Fin"/>
  <ax:ocxPr ax:name="Size" ax:value="1693;794"/>
  <ax:ocxPr ax:name="TakeFocusOnClick" ax:value="0"/>
  <ax:ocxPr ax:name="FontName" ax:value="Arial"/>
  <ax:ocxPr ax:name="FontHeight" ax:value="195"/>
  <ax:ocxPr ax:name="FontCharSet" ax:value="0"/>
  <ax:ocxPr ax:name="FontPitchAndFamily" ax:value="2"/>
  <ax:ocxPr ax:name="ParagraphAlign" ax:value="3"/>
</ax:ocx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AR"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 sz="1150" b="1" i="0" u="none" strike="noStrike" baseline="0"/>
              <a:t>METODOS AGILES SCRUM </a:t>
            </a:r>
            <a:r>
              <a:rPr lang="es-AR"/>
              <a:t/>
            </a:r>
            <a:br>
              <a:rPr lang="es-AR"/>
            </a:br>
            <a:r>
              <a:rPr lang="es-AR"/>
              <a:t>Burn Down Sprint   
</a:t>
            </a:r>
          </a:p>
        </c:rich>
      </c:tx>
      <c:layout>
        <c:manualLayout>
          <c:xMode val="edge"/>
          <c:yMode val="edge"/>
          <c:x val="0.43226477125142293"/>
          <c:y val="2.027031001430458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0785935884177964"/>
          <c:y val="0.1216216216216226"/>
          <c:w val="0.64426059979317474"/>
          <c:h val="0.51858108108108059"/>
        </c:manualLayout>
      </c:layout>
      <c:areaChart>
        <c:grouping val="standard"/>
        <c:ser>
          <c:idx val="2"/>
          <c:order val="2"/>
          <c:tx>
            <c:strRef>
              <c:f>'Sprint1 '!$E$26</c:f>
              <c:strCache>
                <c:ptCount val="1"/>
                <c:pt idx="0">
                  <c:v>T. Acum</c:v>
                </c:pt>
              </c:strCache>
            </c:strRef>
          </c:tx>
          <c:spPr>
            <a:gradFill flip="none" rotWithShape="1">
              <a:gsLst>
                <a:gs pos="0">
                  <a:srgbClr val="DDEBCF">
                    <a:alpha val="21000"/>
                  </a:srgbClr>
                </a:gs>
                <a:gs pos="50000">
                  <a:srgbClr val="9CB86E"/>
                </a:gs>
                <a:gs pos="100000">
                  <a:srgbClr val="156B13"/>
                </a:gs>
              </a:gsLst>
              <a:lin ang="2700000" scaled="1"/>
              <a:tileRect/>
            </a:gradFill>
            <a:ln w="12700">
              <a:solidFill>
                <a:srgbClr val="000000"/>
              </a:solidFill>
              <a:prstDash val="solid"/>
            </a:ln>
          </c:spPr>
          <c:cat>
            <c:numRef>
              <c:f>'Sprint1 '!$F$17:$Z$17</c:f>
              <c:numCache>
                <c:formatCode>[$-C0A]d\-mmm;@</c:formatCode>
                <c:ptCount val="21"/>
                <c:pt idx="0">
                  <c:v>39919</c:v>
                </c:pt>
                <c:pt idx="1">
                  <c:v>39920</c:v>
                </c:pt>
                <c:pt idx="2">
                  <c:v>39921</c:v>
                </c:pt>
                <c:pt idx="3">
                  <c:v>39922</c:v>
                </c:pt>
                <c:pt idx="4">
                  <c:v>39923</c:v>
                </c:pt>
                <c:pt idx="5">
                  <c:v>39924</c:v>
                </c:pt>
                <c:pt idx="6">
                  <c:v>39925</c:v>
                </c:pt>
                <c:pt idx="7">
                  <c:v>39926</c:v>
                </c:pt>
                <c:pt idx="8">
                  <c:v>39927</c:v>
                </c:pt>
                <c:pt idx="9">
                  <c:v>39928</c:v>
                </c:pt>
                <c:pt idx="10">
                  <c:v>39929</c:v>
                </c:pt>
                <c:pt idx="11">
                  <c:v>39930</c:v>
                </c:pt>
                <c:pt idx="12">
                  <c:v>39931</c:v>
                </c:pt>
                <c:pt idx="13">
                  <c:v>39932</c:v>
                </c:pt>
                <c:pt idx="14">
                  <c:v>39933</c:v>
                </c:pt>
                <c:pt idx="15">
                  <c:v>39934</c:v>
                </c:pt>
                <c:pt idx="16">
                  <c:v>39935</c:v>
                </c:pt>
                <c:pt idx="17">
                  <c:v>39936</c:v>
                </c:pt>
                <c:pt idx="18">
                  <c:v>39937</c:v>
                </c:pt>
                <c:pt idx="19">
                  <c:v>39938</c:v>
                </c:pt>
                <c:pt idx="20">
                  <c:v>39939</c:v>
                </c:pt>
              </c:numCache>
            </c:numRef>
          </c:cat>
          <c:val>
            <c:numRef>
              <c:f>'Sprint1 '!$F$26:$Z$26</c:f>
              <c:numCache>
                <c:formatCode>0.0</c:formatCode>
                <c:ptCount val="21"/>
                <c:pt idx="0">
                  <c:v>323.43269230769226</c:v>
                </c:pt>
                <c:pt idx="1">
                  <c:v>318.88192307692304</c:v>
                </c:pt>
                <c:pt idx="2">
                  <c:v>300.10576923076923</c:v>
                </c:pt>
                <c:pt idx="3">
                  <c:v>273.10576923076923</c:v>
                </c:pt>
                <c:pt idx="4">
                  <c:v>278.55500000000001</c:v>
                </c:pt>
                <c:pt idx="5">
                  <c:v>248.80115384615385</c:v>
                </c:pt>
                <c:pt idx="6">
                  <c:v>100.55076923076923</c:v>
                </c:pt>
                <c:pt idx="7">
                  <c:v>100.55076923076923</c:v>
                </c:pt>
                <c:pt idx="8">
                  <c:v>100.55076923076923</c:v>
                </c:pt>
                <c:pt idx="9">
                  <c:v>100.55076923076923</c:v>
                </c:pt>
                <c:pt idx="10">
                  <c:v>100.55076923076923</c:v>
                </c:pt>
                <c:pt idx="11">
                  <c:v>100.55076923076923</c:v>
                </c:pt>
                <c:pt idx="12">
                  <c:v>100.55076923076923</c:v>
                </c:pt>
                <c:pt idx="13">
                  <c:v>100.55076923076923</c:v>
                </c:pt>
                <c:pt idx="14">
                  <c:v>100.55076923076923</c:v>
                </c:pt>
                <c:pt idx="15">
                  <c:v>100.55076923076923</c:v>
                </c:pt>
                <c:pt idx="16">
                  <c:v>100.55076923076923</c:v>
                </c:pt>
                <c:pt idx="17">
                  <c:v>100.55076923076923</c:v>
                </c:pt>
                <c:pt idx="18">
                  <c:v>100.55076923076923</c:v>
                </c:pt>
                <c:pt idx="19">
                  <c:v>100.55076923076923</c:v>
                </c:pt>
                <c:pt idx="20">
                  <c:v>100.55076923076923</c:v>
                </c:pt>
              </c:numCache>
            </c:numRef>
          </c:val>
        </c:ser>
        <c:axId val="125688448"/>
        <c:axId val="125174528"/>
      </c:areaChart>
      <c:lineChart>
        <c:grouping val="standard"/>
        <c:ser>
          <c:idx val="0"/>
          <c:order val="0"/>
          <c:tx>
            <c:strRef>
              <c:f>'Sprint1 '!$E$19</c:f>
              <c:strCache>
                <c:ptCount val="1"/>
                <c:pt idx="0">
                  <c:v>T Restante  Real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star"/>
            <c:size val="4"/>
            <c:spPr>
              <a:noFill/>
              <a:ln w="9525">
                <a:noFill/>
              </a:ln>
            </c:spPr>
          </c:marker>
          <c:trendline>
            <c:name>Fin Estim</c:name>
            <c:spPr>
              <a:ln w="25400">
                <a:solidFill>
                  <a:srgbClr val="0000FF"/>
                </a:solidFill>
                <a:prstDash val="sysDash"/>
              </a:ln>
            </c:spPr>
            <c:trendlineType val="linear"/>
            <c:dispEq val="1"/>
            <c:trendlineLbl>
              <c:layout>
                <c:manualLayout>
                  <c:x val="0.17150117104927101"/>
                  <c:y val="8.010284792499412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es-AR"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cat>
            <c:numRef>
              <c:f>'Sprint1 '!$F$17:$Z$17</c:f>
              <c:numCache>
                <c:formatCode>[$-C0A]d\-mmm;@</c:formatCode>
                <c:ptCount val="21"/>
                <c:pt idx="0">
                  <c:v>39919</c:v>
                </c:pt>
                <c:pt idx="1">
                  <c:v>39920</c:v>
                </c:pt>
                <c:pt idx="2">
                  <c:v>39921</c:v>
                </c:pt>
                <c:pt idx="3">
                  <c:v>39922</c:v>
                </c:pt>
                <c:pt idx="4">
                  <c:v>39923</c:v>
                </c:pt>
                <c:pt idx="5">
                  <c:v>39924</c:v>
                </c:pt>
                <c:pt idx="6">
                  <c:v>39925</c:v>
                </c:pt>
                <c:pt idx="7">
                  <c:v>39926</c:v>
                </c:pt>
                <c:pt idx="8">
                  <c:v>39927</c:v>
                </c:pt>
                <c:pt idx="9">
                  <c:v>39928</c:v>
                </c:pt>
                <c:pt idx="10">
                  <c:v>39929</c:v>
                </c:pt>
                <c:pt idx="11">
                  <c:v>39930</c:v>
                </c:pt>
                <c:pt idx="12">
                  <c:v>39931</c:v>
                </c:pt>
                <c:pt idx="13">
                  <c:v>39932</c:v>
                </c:pt>
                <c:pt idx="14">
                  <c:v>39933</c:v>
                </c:pt>
                <c:pt idx="15">
                  <c:v>39934</c:v>
                </c:pt>
                <c:pt idx="16">
                  <c:v>39935</c:v>
                </c:pt>
                <c:pt idx="17">
                  <c:v>39936</c:v>
                </c:pt>
                <c:pt idx="18">
                  <c:v>39937</c:v>
                </c:pt>
                <c:pt idx="19">
                  <c:v>39938</c:v>
                </c:pt>
                <c:pt idx="20">
                  <c:v>39939</c:v>
                </c:pt>
              </c:numCache>
            </c:numRef>
          </c:cat>
          <c:val>
            <c:numRef>
              <c:f>'Sprint1 '!$F$19:$Z$19</c:f>
              <c:numCache>
                <c:formatCode>0.0</c:formatCode>
                <c:ptCount val="21"/>
                <c:pt idx="0">
                  <c:v>323.43269230769226</c:v>
                </c:pt>
                <c:pt idx="1">
                  <c:v>318.88192307692304</c:v>
                </c:pt>
                <c:pt idx="2">
                  <c:v>300.10576923076923</c:v>
                </c:pt>
                <c:pt idx="3">
                  <c:v>273.10576923076923</c:v>
                </c:pt>
                <c:pt idx="4">
                  <c:v>278.55500000000001</c:v>
                </c:pt>
                <c:pt idx="5">
                  <c:v>248.80115384615385</c:v>
                </c:pt>
                <c:pt idx="6">
                  <c:v>100.55076923076923</c:v>
                </c:pt>
                <c:pt idx="7">
                  <c:v>100.55076923076923</c:v>
                </c:pt>
                <c:pt idx="8">
                  <c:v>100.55076923076923</c:v>
                </c:pt>
              </c:numCache>
            </c:numRef>
          </c:val>
        </c:ser>
        <c:ser>
          <c:idx val="1"/>
          <c:order val="1"/>
          <c:tx>
            <c:strRef>
              <c:f>'Sprint1 '!$E$25</c:f>
              <c:strCache>
                <c:ptCount val="1"/>
                <c:pt idx="0">
                  <c:v>T ideal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trendline>
            <c:name>Ideal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Eq val="1"/>
            <c:trendlineLbl>
              <c:layout>
                <c:manualLayout>
                  <c:x val="0.1493479619395402"/>
                  <c:y val="-0.17796166820403816"/>
                </c:manualLayout>
              </c:layout>
              <c:tx>
                <c:rich>
                  <a:bodyPr/>
                  <a:lstStyle/>
                  <a:p>
                    <a:pPr>
                      <a:defRPr lang="es-AR" sz="800" b="1" i="0" u="none" strike="noStrike" baseline="0">
                        <a:solidFill>
                          <a:srgbClr val="FFF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$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25400">
                  <a:noFill/>
                </a:ln>
              </c:spPr>
            </c:trendlineLbl>
          </c:trendline>
          <c:cat>
            <c:numRef>
              <c:f>'Sprint1 '!$F$17:$Z$17</c:f>
              <c:numCache>
                <c:formatCode>[$-C0A]d\-mmm;@</c:formatCode>
                <c:ptCount val="21"/>
                <c:pt idx="0">
                  <c:v>39919</c:v>
                </c:pt>
                <c:pt idx="1">
                  <c:v>39920</c:v>
                </c:pt>
                <c:pt idx="2">
                  <c:v>39921</c:v>
                </c:pt>
                <c:pt idx="3">
                  <c:v>39922</c:v>
                </c:pt>
                <c:pt idx="4">
                  <c:v>39923</c:v>
                </c:pt>
                <c:pt idx="5">
                  <c:v>39924</c:v>
                </c:pt>
                <c:pt idx="6">
                  <c:v>39925</c:v>
                </c:pt>
                <c:pt idx="7">
                  <c:v>39926</c:v>
                </c:pt>
                <c:pt idx="8">
                  <c:v>39927</c:v>
                </c:pt>
                <c:pt idx="9">
                  <c:v>39928</c:v>
                </c:pt>
                <c:pt idx="10">
                  <c:v>39929</c:v>
                </c:pt>
                <c:pt idx="11">
                  <c:v>39930</c:v>
                </c:pt>
                <c:pt idx="12">
                  <c:v>39931</c:v>
                </c:pt>
                <c:pt idx="13">
                  <c:v>39932</c:v>
                </c:pt>
                <c:pt idx="14">
                  <c:v>39933</c:v>
                </c:pt>
                <c:pt idx="15">
                  <c:v>39934</c:v>
                </c:pt>
                <c:pt idx="16">
                  <c:v>39935</c:v>
                </c:pt>
                <c:pt idx="17">
                  <c:v>39936</c:v>
                </c:pt>
                <c:pt idx="18">
                  <c:v>39937</c:v>
                </c:pt>
                <c:pt idx="19">
                  <c:v>39938</c:v>
                </c:pt>
                <c:pt idx="20">
                  <c:v>39939</c:v>
                </c:pt>
              </c:numCache>
            </c:numRef>
          </c:cat>
          <c:val>
            <c:numRef>
              <c:f>'Sprint1 '!$F$25:$Z$25</c:f>
              <c:numCache>
                <c:formatCode>0.0</c:formatCode>
                <c:ptCount val="21"/>
                <c:pt idx="0">
                  <c:v>323.43269230769226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HOY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square"/>
            <c:size val="7"/>
            <c:spPr>
              <a:noFill/>
              <a:ln>
                <a:solidFill>
                  <a:srgbClr val="333300"/>
                </a:solidFill>
                <a:prstDash val="solid"/>
              </a:ln>
            </c:spPr>
          </c:marker>
          <c:val>
            <c:numRef>
              <c:f>'Sprint1 '!$F$18:$Z$18</c:f>
              <c:numCache>
                <c:formatCode>0</c:formatCode>
                <c:ptCount val="21"/>
                <c:pt idx="0">
                  <c:v>323.43269230769226</c:v>
                </c:pt>
                <c:pt idx="1">
                  <c:v>323.43269230769226</c:v>
                </c:pt>
                <c:pt idx="2">
                  <c:v>323.43269230769226</c:v>
                </c:pt>
                <c:pt idx="3">
                  <c:v>323.43269230769226</c:v>
                </c:pt>
                <c:pt idx="4">
                  <c:v>323.43269230769226</c:v>
                </c:pt>
                <c:pt idx="5">
                  <c:v>323.43269230769226</c:v>
                </c:pt>
                <c:pt idx="6">
                  <c:v>323.43269230769226</c:v>
                </c:pt>
                <c:pt idx="7">
                  <c:v>323.43269230769226</c:v>
                </c:pt>
                <c:pt idx="8">
                  <c:v>323.43269230769226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125688448"/>
        <c:axId val="125174528"/>
      </c:lineChart>
      <c:lineChart>
        <c:grouping val="standard"/>
        <c:ser>
          <c:idx val="4"/>
          <c:order val="4"/>
          <c:tx>
            <c:v>Presupuesto</c:v>
          </c:tx>
          <c:val>
            <c:numRef>
              <c:f>'Sprint1 '!$F$21:$Z$21</c:f>
              <c:numCache>
                <c:formatCode>[$$-C09]#,##0.00;[Red]\-[$$-C09]#,##0.00</c:formatCode>
                <c:ptCount val="21"/>
                <c:pt idx="0">
                  <c:v>8.1756597222222211</c:v>
                </c:pt>
                <c:pt idx="1">
                  <c:v>7.5437152777777765</c:v>
                </c:pt>
                <c:pt idx="2">
                  <c:v>6.9117708333333319</c:v>
                </c:pt>
                <c:pt idx="3">
                  <c:v>6.2798263888888872</c:v>
                </c:pt>
                <c:pt idx="4">
                  <c:v>5.6478819444444426</c:v>
                </c:pt>
                <c:pt idx="5">
                  <c:v>5.0159374999999979</c:v>
                </c:pt>
                <c:pt idx="6">
                  <c:v>4.3839930555555533</c:v>
                </c:pt>
                <c:pt idx="7">
                  <c:v>3.7520486111111087</c:v>
                </c:pt>
                <c:pt idx="8">
                  <c:v>3.120104166666664</c:v>
                </c:pt>
                <c:pt idx="9">
                  <c:v>2.4881597222222194</c:v>
                </c:pt>
                <c:pt idx="10">
                  <c:v>1.856215277777775</c:v>
                </c:pt>
                <c:pt idx="11">
                  <c:v>1.2242708333333305</c:v>
                </c:pt>
                <c:pt idx="12">
                  <c:v>0.59232638888888611</c:v>
                </c:pt>
                <c:pt idx="13">
                  <c:v>-3.9618055555558307E-2</c:v>
                </c:pt>
                <c:pt idx="14">
                  <c:v>-0.67156250000000273</c:v>
                </c:pt>
                <c:pt idx="15">
                  <c:v>-1.3035069444444471</c:v>
                </c:pt>
                <c:pt idx="16">
                  <c:v>-1.9354513888888916</c:v>
                </c:pt>
                <c:pt idx="17">
                  <c:v>-2.567395833333336</c:v>
                </c:pt>
                <c:pt idx="18">
                  <c:v>-3.1993402777777806</c:v>
                </c:pt>
                <c:pt idx="19">
                  <c:v>-3.8312847222222253</c:v>
                </c:pt>
                <c:pt idx="20">
                  <c:v>-4.4632291666666699</c:v>
                </c:pt>
              </c:numCache>
            </c:numRef>
          </c:val>
        </c:ser>
        <c:ser>
          <c:idx val="5"/>
          <c:order val="5"/>
          <c:tx>
            <c:strRef>
              <c:f>'Sprint1 '!$E$22</c:f>
              <c:strCache>
                <c:ptCount val="1"/>
                <c:pt idx="0">
                  <c:v>BUFFER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pPr>
              <a:solidFill>
                <a:srgbClr val="FFFFFF"/>
              </a:solidFill>
            </c:spPr>
          </c:marker>
          <c:val>
            <c:numRef>
              <c:f>'Sprint1 '!$F$22:$Z$22</c:f>
              <c:numCache>
                <c:formatCode>[$$-C09]#,##0.00;[Red]\-[$$-C09]#,##0.00</c:formatCode>
                <c:ptCount val="21"/>
                <c:pt idx="0">
                  <c:v>1.2638888888888888</c:v>
                </c:pt>
                <c:pt idx="1">
                  <c:v>0.74697777777777707</c:v>
                </c:pt>
                <c:pt idx="2">
                  <c:v>7.2741666666664262E-2</c:v>
                </c:pt>
                <c:pt idx="3">
                  <c:v>-0.55093888888889309</c:v>
                </c:pt>
                <c:pt idx="4">
                  <c:v>-1.9443083333333395</c:v>
                </c:pt>
                <c:pt idx="5">
                  <c:v>-3.2175111111111199</c:v>
                </c:pt>
                <c:pt idx="6">
                  <c:v>-1.3752180555555666</c:v>
                </c:pt>
                <c:pt idx="7">
                  <c:v>-0.16486944444445806</c:v>
                </c:pt>
                <c:pt idx="8">
                  <c:v>0.41353472222220589</c:v>
                </c:pt>
              </c:numCache>
            </c:numRef>
          </c:val>
        </c:ser>
        <c:ser>
          <c:idx val="6"/>
          <c:order val="6"/>
          <c:tx>
            <c:strRef>
              <c:f>'Sprint1 '!$E$24</c:f>
              <c:strCache>
                <c:ptCount val="1"/>
                <c:pt idx="0">
                  <c:v>Agastar$</c:v>
                </c:pt>
              </c:strCache>
            </c:strRef>
          </c:tx>
          <c:trendline>
            <c:spPr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dashDot"/>
              </a:ln>
            </c:spPr>
            <c:trendlineType val="linear"/>
          </c:trendline>
          <c:val>
            <c:numRef>
              <c:f>'Sprint1 '!$F$24:$Z$24</c:f>
              <c:numCache>
                <c:formatCode>_-[$$-409]* #,##0.000_ ;_-[$$-409]* \-#,##0.000\ ;_-[$$-409]* "-"???_ ;_-@_ </c:formatCode>
                <c:ptCount val="21"/>
                <c:pt idx="0">
                  <c:v>8.1756597222222211</c:v>
                </c:pt>
                <c:pt idx="1">
                  <c:v>8.0606263888888883</c:v>
                </c:pt>
                <c:pt idx="2">
                  <c:v>7.5860069444444447</c:v>
                </c:pt>
                <c:pt idx="3">
                  <c:v>6.9035069444444446</c:v>
                </c:pt>
                <c:pt idx="4">
                  <c:v>7.041251388888889</c:v>
                </c:pt>
                <c:pt idx="5">
                  <c:v>6.2891402777777783</c:v>
                </c:pt>
                <c:pt idx="6">
                  <c:v>2.5417000000000001</c:v>
                </c:pt>
                <c:pt idx="7">
                  <c:v>2.5417000000000001</c:v>
                </c:pt>
                <c:pt idx="8">
                  <c:v>2.5417000000000001</c:v>
                </c:pt>
              </c:numCache>
            </c:numRef>
          </c:val>
        </c:ser>
        <c:ser>
          <c:idx val="7"/>
          <c:order val="7"/>
          <c:tx>
            <c:v>cero</c:v>
          </c:tx>
          <c:spPr>
            <a:ln cmpd="dbl">
              <a:solidFill>
                <a:schemeClr val="accent2"/>
              </a:solidFill>
            </a:ln>
          </c:spPr>
          <c:val>
            <c:numRef>
              <c:f>'Sprint1 '!$F$14:$Z$14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125190528"/>
        <c:axId val="125176448"/>
      </c:lineChart>
      <c:dateAx>
        <c:axId val="125688448"/>
        <c:scaling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AR"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Dias</a:t>
                </a:r>
              </a:p>
            </c:rich>
          </c:tx>
          <c:layout>
            <c:manualLayout>
              <c:xMode val="edge"/>
              <c:yMode val="edge"/>
              <c:x val="0.51396075490563264"/>
              <c:y val="0.94256754408245103"/>
            </c:manualLayout>
          </c:layout>
          <c:spPr>
            <a:noFill/>
            <a:ln w="25400">
              <a:noFill/>
            </a:ln>
          </c:spPr>
        </c:title>
        <c:numFmt formatCode="[$-C0A]d\-mmm;@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220000" vert="horz"/>
          <a:lstStyle/>
          <a:p>
            <a:pPr>
              <a:defRPr lang="es-AR" sz="800" b="0" i="0" u="none" strike="noStrike" baseline="0">
                <a:solidFill>
                  <a:srgbClr val="008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5174528"/>
        <c:crosses val="autoZero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125174528"/>
        <c:scaling>
          <c:orientation val="minMax"/>
          <c:min val="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AR"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Horas</a:t>
                </a:r>
              </a:p>
            </c:rich>
          </c:tx>
          <c:layout>
            <c:manualLayout>
              <c:xMode val="edge"/>
              <c:yMode val="edge"/>
              <c:x val="1.1375425897849747E-2"/>
              <c:y val="0.34628379432197481"/>
            </c:manualLayout>
          </c:layout>
          <c:spPr>
            <a:noFill/>
            <a:ln w="25400">
              <a:noFill/>
            </a:ln>
          </c:spPr>
        </c:title>
        <c:numFmt formatCode="0.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AR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5688448"/>
        <c:crosses val="autoZero"/>
        <c:crossBetween val="midCat"/>
      </c:valAx>
      <c:valAx>
        <c:axId val="125176448"/>
        <c:scaling>
          <c:orientation val="minMax"/>
        </c:scaling>
        <c:axPos val="r"/>
        <c:numFmt formatCode="[$$-C09]#,##0.00;[Red]\-[$$-C09]#,##0.00" sourceLinked="1"/>
        <c:tickLblPos val="nextTo"/>
        <c:txPr>
          <a:bodyPr/>
          <a:lstStyle/>
          <a:p>
            <a:pPr>
              <a:defRPr sz="800"/>
            </a:pPr>
            <a:endParaRPr lang="es-ES"/>
          </a:p>
        </c:txPr>
        <c:crossAx val="125190528"/>
        <c:crosses val="max"/>
        <c:crossBetween val="between"/>
      </c:valAx>
      <c:catAx>
        <c:axId val="125190528"/>
        <c:scaling>
          <c:orientation val="minMax"/>
        </c:scaling>
        <c:delete val="1"/>
        <c:axPos val="b"/>
        <c:tickLblPos val="nextTo"/>
        <c:crossAx val="1251764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lang="es-AR"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</c:dTable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6038864707128992"/>
          <c:y val="0.73168366687610564"/>
          <c:w val="0.11572814267781763"/>
          <c:h val="0.2683163331238950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AR"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1000"/>
            </a:pPr>
            <a:r>
              <a:rPr lang="es-AR" sz="1000"/>
              <a:t>METODOS AGILES SCRUM </a:t>
            </a:r>
            <a:br>
              <a:rPr lang="es-AR" sz="1000"/>
            </a:br>
            <a:r>
              <a:rPr lang="es-AR" sz="1000"/>
              <a:t>Costos del Sprint   
</a:t>
            </a:r>
          </a:p>
        </c:rich>
      </c:tx>
      <c:layout>
        <c:manualLayout>
          <c:xMode val="edge"/>
          <c:yMode val="edge"/>
          <c:x val="0.43226477125142304"/>
          <c:y val="2.0270310014304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050988191693433"/>
          <c:y val="0.12614912949124144"/>
          <c:w val="0.64426059979317474"/>
          <c:h val="0.51858108108108059"/>
        </c:manualLayout>
      </c:layout>
      <c:lineChart>
        <c:grouping val="standard"/>
        <c:ser>
          <c:idx val="4"/>
          <c:order val="0"/>
          <c:tx>
            <c:v>Presupuesto</c:v>
          </c:tx>
          <c:spPr>
            <a:ln>
              <a:solidFill>
                <a:srgbClr val="002060"/>
              </a:solidFill>
            </a:ln>
          </c:spPr>
          <c:val>
            <c:numRef>
              <c:f>'Sprint1 '!$F$21:$Z$21</c:f>
              <c:numCache>
                <c:formatCode>[$$-C09]#,##0.00;[Red]\-[$$-C09]#,##0.00</c:formatCode>
                <c:ptCount val="21"/>
                <c:pt idx="0">
                  <c:v>8.1756597222222211</c:v>
                </c:pt>
                <c:pt idx="1">
                  <c:v>7.5437152777777765</c:v>
                </c:pt>
                <c:pt idx="2">
                  <c:v>6.9117708333333319</c:v>
                </c:pt>
                <c:pt idx="3">
                  <c:v>6.2798263888888872</c:v>
                </c:pt>
                <c:pt idx="4">
                  <c:v>5.6478819444444426</c:v>
                </c:pt>
                <c:pt idx="5">
                  <c:v>5.0159374999999979</c:v>
                </c:pt>
                <c:pt idx="6">
                  <c:v>4.3839930555555533</c:v>
                </c:pt>
                <c:pt idx="7">
                  <c:v>3.7520486111111087</c:v>
                </c:pt>
                <c:pt idx="8">
                  <c:v>3.120104166666664</c:v>
                </c:pt>
                <c:pt idx="9">
                  <c:v>2.4881597222222194</c:v>
                </c:pt>
                <c:pt idx="10">
                  <c:v>1.856215277777775</c:v>
                </c:pt>
                <c:pt idx="11">
                  <c:v>1.2242708333333305</c:v>
                </c:pt>
                <c:pt idx="12">
                  <c:v>0.59232638888888611</c:v>
                </c:pt>
                <c:pt idx="13">
                  <c:v>-3.9618055555558307E-2</c:v>
                </c:pt>
                <c:pt idx="14">
                  <c:v>-0.67156250000000273</c:v>
                </c:pt>
                <c:pt idx="15">
                  <c:v>-1.3035069444444471</c:v>
                </c:pt>
                <c:pt idx="16">
                  <c:v>-1.9354513888888916</c:v>
                </c:pt>
                <c:pt idx="17">
                  <c:v>-2.567395833333336</c:v>
                </c:pt>
                <c:pt idx="18">
                  <c:v>-3.1993402777777806</c:v>
                </c:pt>
                <c:pt idx="19">
                  <c:v>-3.8312847222222253</c:v>
                </c:pt>
                <c:pt idx="20">
                  <c:v>-4.4632291666666699</c:v>
                </c:pt>
              </c:numCache>
            </c:numRef>
          </c:val>
        </c:ser>
        <c:ser>
          <c:idx val="5"/>
          <c:order val="1"/>
          <c:tx>
            <c:strRef>
              <c:f>'Sprint1 '!$E$22</c:f>
              <c:strCache>
                <c:ptCount val="1"/>
                <c:pt idx="0">
                  <c:v>BUFFER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rgbClr val="FFFFFF"/>
              </a:solidFill>
            </c:spPr>
          </c:marker>
          <c:val>
            <c:numRef>
              <c:f>'Sprint1 '!$F$22:$Z$22</c:f>
              <c:numCache>
                <c:formatCode>[$$-C09]#,##0.00;[Red]\-[$$-C09]#,##0.00</c:formatCode>
                <c:ptCount val="21"/>
                <c:pt idx="0">
                  <c:v>1.2638888888888888</c:v>
                </c:pt>
                <c:pt idx="1">
                  <c:v>0.74697777777777707</c:v>
                </c:pt>
                <c:pt idx="2">
                  <c:v>7.2741666666664262E-2</c:v>
                </c:pt>
                <c:pt idx="3">
                  <c:v>-0.55093888888889309</c:v>
                </c:pt>
                <c:pt idx="4">
                  <c:v>-1.9443083333333395</c:v>
                </c:pt>
                <c:pt idx="5">
                  <c:v>-3.2175111111111199</c:v>
                </c:pt>
                <c:pt idx="6">
                  <c:v>-1.3752180555555666</c:v>
                </c:pt>
                <c:pt idx="7">
                  <c:v>-0.16486944444445806</c:v>
                </c:pt>
                <c:pt idx="8">
                  <c:v>0.41353472222220589</c:v>
                </c:pt>
              </c:numCache>
            </c:numRef>
          </c:val>
        </c:ser>
        <c:ser>
          <c:idx val="6"/>
          <c:order val="2"/>
          <c:tx>
            <c:strRef>
              <c:f>'Sprint1 '!$E$24</c:f>
              <c:strCache>
                <c:ptCount val="1"/>
                <c:pt idx="0">
                  <c:v>Agastar$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dPt>
            <c:idx val="5"/>
            <c:marker>
              <c:spPr>
                <a:solidFill>
                  <a:srgbClr val="FF0000"/>
                </a:solidFill>
              </c:spPr>
            </c:marker>
          </c:dPt>
          <c:trendline>
            <c:spPr>
              <a:ln w="12700">
                <a:solidFill>
                  <a:srgbClr val="FF0000"/>
                </a:solidFill>
                <a:prstDash val="lgDash"/>
              </a:ln>
            </c:spPr>
            <c:trendlineType val="linear"/>
          </c:trendline>
          <c:val>
            <c:numRef>
              <c:f>'Sprint1 '!$F$24:$Z$24</c:f>
              <c:numCache>
                <c:formatCode>_-[$$-409]* #,##0.000_ ;_-[$$-409]* \-#,##0.000\ ;_-[$$-409]* "-"???_ ;_-@_ </c:formatCode>
                <c:ptCount val="21"/>
                <c:pt idx="0">
                  <c:v>8.1756597222222211</c:v>
                </c:pt>
                <c:pt idx="1">
                  <c:v>8.0606263888888883</c:v>
                </c:pt>
                <c:pt idx="2">
                  <c:v>7.5860069444444447</c:v>
                </c:pt>
                <c:pt idx="3">
                  <c:v>6.9035069444444446</c:v>
                </c:pt>
                <c:pt idx="4">
                  <c:v>7.041251388888889</c:v>
                </c:pt>
                <c:pt idx="5">
                  <c:v>6.2891402777777783</c:v>
                </c:pt>
                <c:pt idx="6">
                  <c:v>2.5417000000000001</c:v>
                </c:pt>
                <c:pt idx="7">
                  <c:v>2.5417000000000001</c:v>
                </c:pt>
                <c:pt idx="8">
                  <c:v>2.5417000000000001</c:v>
                </c:pt>
              </c:numCache>
            </c:numRef>
          </c:val>
        </c:ser>
        <c:ser>
          <c:idx val="7"/>
          <c:order val="3"/>
          <c:tx>
            <c:v>cero</c:v>
          </c:tx>
          <c:spPr>
            <a:ln cmpd="dbl">
              <a:solidFill>
                <a:schemeClr val="accent2"/>
              </a:solidFill>
            </a:ln>
          </c:spPr>
          <c:val>
            <c:numRef>
              <c:f>'Sprint1 '!$F$14:$Z$14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126057856"/>
        <c:axId val="126158336"/>
      </c:lineChart>
      <c:catAx>
        <c:axId val="126057856"/>
        <c:scaling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/>
                </a:pPr>
                <a:r>
                  <a:rPr lang="es-AR" sz="1050"/>
                  <a:t>Dias</a:t>
                </a:r>
              </a:p>
            </c:rich>
          </c:tx>
          <c:layout>
            <c:manualLayout>
              <c:xMode val="edge"/>
              <c:yMode val="edge"/>
              <c:x val="0.51396075490563531"/>
              <c:y val="0.83617252427487365"/>
            </c:manualLayout>
          </c:layout>
          <c:spPr>
            <a:noFill/>
            <a:ln w="25400">
              <a:noFill/>
            </a:ln>
          </c:spPr>
        </c:title>
        <c:numFmt formatCode="[$-C0A]d\-mmm;@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220000" vert="horz"/>
          <a:lstStyle/>
          <a:p>
            <a:pPr>
              <a:defRPr/>
            </a:pPr>
            <a:endParaRPr lang="es-ES"/>
          </a:p>
        </c:txPr>
        <c:crossAx val="126158336"/>
        <c:crosses val="autoZero"/>
        <c:auto val="1"/>
        <c:lblAlgn val="ctr"/>
        <c:lblOffset val="100"/>
        <c:tickLblSkip val="2"/>
        <c:tickMarkSkip val="1"/>
      </c:catAx>
      <c:valAx>
        <c:axId val="1261583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AR" sz="1200"/>
                  <a:t>Miles    </a:t>
                </a:r>
              </a:p>
              <a:p>
                <a:pPr>
                  <a:defRPr sz="1200"/>
                </a:pPr>
                <a:r>
                  <a:rPr lang="es-AR" sz="1200"/>
                  <a:t>$</a:t>
                </a:r>
              </a:p>
            </c:rich>
          </c:tx>
          <c:layout>
            <c:manualLayout>
              <c:xMode val="edge"/>
              <c:yMode val="edge"/>
              <c:x val="1.1375425897849747E-2"/>
              <c:y val="0.34628379432197481"/>
            </c:manualLayout>
          </c:layout>
          <c:spPr>
            <a:noFill/>
            <a:ln w="25400">
              <a:noFill/>
            </a:ln>
          </c:spPr>
        </c:title>
        <c:numFmt formatCode="[$$-C09]#,##0.00;[Red]\-[$$-C09]#,##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26057856"/>
        <c:crosses val="autoZero"/>
        <c:crossBetween val="midCat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</c:dTable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728995832042843"/>
          <c:y val="0.51210245578385849"/>
          <c:w val="0.11572814267781764"/>
          <c:h val="0.26831633312389513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</c:chart>
  <c:spPr>
    <a:solidFill>
      <a:srgbClr val="FFFFFF"/>
    </a:solidFill>
    <a:ln w="9525">
      <a:noFill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autoTitleDeleted val="1"/>
    <c:plotArea>
      <c:layout>
        <c:manualLayout>
          <c:layoutTarget val="inner"/>
          <c:xMode val="edge"/>
          <c:yMode val="edge"/>
          <c:x val="9.5793963254593203E-2"/>
          <c:y val="8.8821449402158067E-2"/>
          <c:w val="0.87087270341207368"/>
          <c:h val="0.68673009623797032"/>
        </c:manualLayout>
      </c:layout>
      <c:areaChart>
        <c:grouping val="standard"/>
        <c:ser>
          <c:idx val="0"/>
          <c:order val="0"/>
          <c:tx>
            <c:strRef>
              <c:f>'analisiscostos 2'!$H$78</c:f>
              <c:strCache>
                <c:ptCount val="1"/>
                <c:pt idx="0">
                  <c:v>Hs Productivas</c:v>
                </c:pt>
              </c:strCache>
            </c:strRef>
          </c:tx>
          <c:trendline>
            <c:trendlineType val="linear"/>
          </c:trendline>
          <c:cat>
            <c:strRef>
              <c:f>'analisiscostos 2'!$G$79:$G$85</c:f>
              <c:strCache>
                <c:ptCount val="7"/>
                <c:pt idx="0">
                  <c:v>Dia1</c:v>
                </c:pt>
                <c:pt idx="1">
                  <c:v>Dia2</c:v>
                </c:pt>
                <c:pt idx="2">
                  <c:v>Dia3</c:v>
                </c:pt>
                <c:pt idx="3">
                  <c:v>Dia4</c:v>
                </c:pt>
                <c:pt idx="4">
                  <c:v>Dia5</c:v>
                </c:pt>
                <c:pt idx="5">
                  <c:v>Dia6</c:v>
                </c:pt>
                <c:pt idx="6">
                  <c:v>Dia7</c:v>
                </c:pt>
              </c:strCache>
            </c:strRef>
          </c:cat>
          <c:val>
            <c:numRef>
              <c:f>'analisiscostos 2'!$H$79:$H$85</c:f>
              <c:numCache>
                <c:formatCode>General</c:formatCode>
                <c:ptCount val="7"/>
                <c:pt idx="0">
                  <c:v>120</c:v>
                </c:pt>
                <c:pt idx="1">
                  <c:v>100</c:v>
                </c:pt>
                <c:pt idx="2">
                  <c:v>70</c:v>
                </c:pt>
                <c:pt idx="3">
                  <c:v>60</c:v>
                </c:pt>
              </c:numCache>
            </c:numRef>
          </c:val>
        </c:ser>
        <c:axId val="126362752"/>
        <c:axId val="126364288"/>
      </c:areaChart>
      <c:lineChart>
        <c:grouping val="standard"/>
        <c:ser>
          <c:idx val="1"/>
          <c:order val="1"/>
          <c:tx>
            <c:strRef>
              <c:f>'analisiscostos 2'!$I$78</c:f>
              <c:strCache>
                <c:ptCount val="1"/>
                <c:pt idx="0">
                  <c:v>Consumo estimado</c:v>
                </c:pt>
              </c:strCache>
            </c:strRef>
          </c:tx>
          <c:marker>
            <c:symbol val="none"/>
          </c:marker>
          <c:cat>
            <c:strRef>
              <c:f>'analisiscostos 2'!$G$79:$G$85</c:f>
              <c:strCache>
                <c:ptCount val="7"/>
                <c:pt idx="0">
                  <c:v>Dia1</c:v>
                </c:pt>
                <c:pt idx="1">
                  <c:v>Dia2</c:v>
                </c:pt>
                <c:pt idx="2">
                  <c:v>Dia3</c:v>
                </c:pt>
                <c:pt idx="3">
                  <c:v>Dia4</c:v>
                </c:pt>
                <c:pt idx="4">
                  <c:v>Dia5</c:v>
                </c:pt>
                <c:pt idx="5">
                  <c:v>Dia6</c:v>
                </c:pt>
                <c:pt idx="6">
                  <c:v>Dia7</c:v>
                </c:pt>
              </c:strCache>
            </c:strRef>
          </c:cat>
          <c:val>
            <c:numRef>
              <c:f>'analisiscostos 2'!$I$79:$I$85</c:f>
              <c:numCache>
                <c:formatCode>General</c:formatCode>
                <c:ptCount val="7"/>
                <c:pt idx="0">
                  <c:v>140</c:v>
                </c:pt>
                <c:pt idx="1">
                  <c:v>90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'analisiscostos 2'!$J$78</c:f>
              <c:strCache>
                <c:ptCount val="1"/>
                <c:pt idx="0">
                  <c:v>Buffer pri</c:v>
                </c:pt>
              </c:strCache>
            </c:strRef>
          </c:tx>
          <c:val>
            <c:numRef>
              <c:f>'analisiscostos 2'!$J$79:$J$85</c:f>
              <c:numCache>
                <c:formatCode>General</c:formatCode>
                <c:ptCount val="7"/>
                <c:pt idx="0">
                  <c:v>150.5</c:v>
                </c:pt>
                <c:pt idx="1">
                  <c:v>100.5</c:v>
                </c:pt>
                <c:pt idx="2">
                  <c:v>50.5</c:v>
                </c:pt>
                <c:pt idx="3">
                  <c:v>10.5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'analisiscostos 2'!$L$78</c:f>
              <c:strCache>
                <c:ptCount val="1"/>
                <c:pt idx="0">
                  <c:v>Buffer Sec</c:v>
                </c:pt>
              </c:strCache>
            </c:strRef>
          </c:tx>
          <c:val>
            <c:numRef>
              <c:f>'analisiscostos 2'!$L$79:$L$84</c:f>
              <c:numCache>
                <c:formatCode>General</c:formatCode>
                <c:ptCount val="6"/>
                <c:pt idx="0">
                  <c:v>155</c:v>
                </c:pt>
                <c:pt idx="1">
                  <c:v>105</c:v>
                </c:pt>
                <c:pt idx="2">
                  <c:v>55</c:v>
                </c:pt>
                <c:pt idx="3">
                  <c:v>15</c:v>
                </c:pt>
                <c:pt idx="4">
                  <c:v>4.5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'analisiscostos 2'!$M$78</c:f>
              <c:strCache>
                <c:ptCount val="1"/>
                <c:pt idx="0">
                  <c:v>Buffer Cri</c:v>
                </c:pt>
              </c:strCache>
            </c:strRef>
          </c:tx>
          <c:val>
            <c:numRef>
              <c:f>'analisiscostos 2'!$M$79:$M$84</c:f>
              <c:numCache>
                <c:formatCode>General</c:formatCode>
                <c:ptCount val="6"/>
                <c:pt idx="0">
                  <c:v>157.71428571428572</c:v>
                </c:pt>
                <c:pt idx="1">
                  <c:v>107.71428571428571</c:v>
                </c:pt>
                <c:pt idx="2">
                  <c:v>57.714285714285715</c:v>
                </c:pt>
                <c:pt idx="3">
                  <c:v>17.714285714285715</c:v>
                </c:pt>
                <c:pt idx="4">
                  <c:v>7.2142857142857144</c:v>
                </c:pt>
                <c:pt idx="5">
                  <c:v>2.7142857142857144</c:v>
                </c:pt>
              </c:numCache>
            </c:numRef>
          </c:val>
        </c:ser>
        <c:marker val="1"/>
        <c:axId val="126362752"/>
        <c:axId val="126364288"/>
      </c:lineChart>
      <c:catAx>
        <c:axId val="126362752"/>
        <c:scaling>
          <c:orientation val="minMax"/>
        </c:scaling>
        <c:axPos val="b"/>
        <c:majorTickMark val="none"/>
        <c:tickLblPos val="nextTo"/>
        <c:crossAx val="126364288"/>
        <c:crosses val="autoZero"/>
        <c:auto val="1"/>
        <c:lblAlgn val="ctr"/>
        <c:lblOffset val="100"/>
      </c:catAx>
      <c:valAx>
        <c:axId val="126364288"/>
        <c:scaling>
          <c:orientation val="minMax"/>
        </c:scaling>
        <c:axPos val="l"/>
        <c:numFmt formatCode="General" sourceLinked="1"/>
        <c:majorTickMark val="none"/>
        <c:tickLblPos val="nextTo"/>
        <c:crossAx val="126362752"/>
        <c:crosses val="autoZero"/>
        <c:crossBetween val="between"/>
      </c:valAx>
    </c:plotArea>
    <c:legend>
      <c:legendPos val="b"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áfico5"/>
  <sheetViews>
    <sheetView zoomScale="130" workbookViewId="0"/>
  </sheetViews>
  <customSheetViews>
    <customSheetView guid="{E581961F-3841-49B1-99AD-716C95AC511A}" scale="85">
      <pageMargins left="0.75" right="0.75" top="1" bottom="1" header="0" footer="0"/>
      <pageSetup orientation="landscape" horizontalDpi="0" verticalDpi="0" r:id="rId1"/>
      <headerFooter alignWithMargins="0"/>
    </customSheetView>
  </customSheetViews>
  <pageMargins left="0.75" right="0.75" top="1" bottom="1" header="0" footer="0"/>
  <pageSetup paperSize="9" orientation="landscape" horizontalDpi="300" verticalDpi="300" r:id="rId2"/>
  <headerFooter alignWithMargins="0"/>
  <drawing r:id="rId3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" footer="0"/>
  <pageSetup paperSize="9"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</xdr:row>
      <xdr:rowOff>47625</xdr:rowOff>
    </xdr:from>
    <xdr:to>
      <xdr:col>0</xdr:col>
      <xdr:colOff>2554941</xdr:colOff>
      <xdr:row>4</xdr:row>
      <xdr:rowOff>76200</xdr:rowOff>
    </xdr:to>
    <xdr:pic>
      <xdr:nvPicPr>
        <xdr:cNvPr id="5175" name="Picture 34" descr="Suris 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4350" y="215713"/>
          <a:ext cx="2040591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514351</xdr:colOff>
      <xdr:row>1</xdr:row>
      <xdr:rowOff>47625</xdr:rowOff>
    </xdr:from>
    <xdr:to>
      <xdr:col>1</xdr:col>
      <xdr:colOff>466726</xdr:colOff>
      <xdr:row>4</xdr:row>
      <xdr:rowOff>76200</xdr:rowOff>
    </xdr:to>
    <xdr:pic>
      <xdr:nvPicPr>
        <xdr:cNvPr id="7205" name="Picture 17" descr="Suris 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4351" y="219075"/>
          <a:ext cx="186690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</xdr:row>
      <xdr:rowOff>104775</xdr:rowOff>
    </xdr:from>
    <xdr:to>
      <xdr:col>0</xdr:col>
      <xdr:colOff>1704975</xdr:colOff>
      <xdr:row>4</xdr:row>
      <xdr:rowOff>152400</xdr:rowOff>
    </xdr:to>
    <xdr:pic>
      <xdr:nvPicPr>
        <xdr:cNvPr id="1087" name="Picture 45" descr="Suris 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5775" y="276225"/>
          <a:ext cx="121920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</xdr:row>
      <xdr:rowOff>47625</xdr:rowOff>
    </xdr:from>
    <xdr:to>
      <xdr:col>0</xdr:col>
      <xdr:colOff>2324100</xdr:colOff>
      <xdr:row>4</xdr:row>
      <xdr:rowOff>66675</xdr:rowOff>
    </xdr:to>
    <xdr:pic>
      <xdr:nvPicPr>
        <xdr:cNvPr id="3170" name="Picture 68" descr="Suris 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3425" y="219075"/>
          <a:ext cx="159067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-21981" y="9525"/>
    <xdr:ext cx="9201150" cy="56102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0.137</cdr:x>
      <cdr:y>0.10625</cdr:y>
    </cdr:to>
    <cdr:pic>
      <cdr:nvPicPr>
        <cdr:cNvPr id="4097" name="Picture 1" descr="Suris logo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0" y="-21981"/>
          <a:ext cx="1260558" cy="5960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pic>
  </cdr:relSizeAnchor>
  <cdr:relSizeAnchor xmlns:cdr="http://schemas.openxmlformats.org/drawingml/2006/chartDrawing">
    <cdr:from>
      <cdr:x>0.13719</cdr:x>
      <cdr:y>0.20997</cdr:y>
    </cdr:from>
    <cdr:to>
      <cdr:x>0.18944</cdr:x>
      <cdr:y>0.21047</cdr:y>
    </cdr:to>
    <cdr:sp macro="" textlink="">
      <cdr:nvSpPr>
        <cdr:cNvPr id="4099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262288" y="1177966"/>
          <a:ext cx="480760" cy="280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0.9046</cdr:x>
      <cdr:y>0.44404</cdr:y>
    </cdr:from>
    <cdr:to>
      <cdr:x>0.95685</cdr:x>
      <cdr:y>0.44454</cdr:y>
    </cdr:to>
    <cdr:sp macro="" textlink="">
      <cdr:nvSpPr>
        <cdr:cNvPr id="4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8323385" y="2491154"/>
          <a:ext cx="480760" cy="280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0.2596</cdr:x>
      <cdr:y>0.82118</cdr:y>
    </cdr:from>
    <cdr:to>
      <cdr:x>0.57573</cdr:x>
      <cdr:y>0.82933</cdr:y>
    </cdr:to>
    <cdr:sp macro="" textlink="">
      <cdr:nvSpPr>
        <cdr:cNvPr id="5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388617" y="4607030"/>
          <a:ext cx="2908750" cy="457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0.58987</cdr:x>
      <cdr:y>0.27387</cdr:y>
    </cdr:from>
    <cdr:to>
      <cdr:x>0.59484</cdr:x>
      <cdr:y>0.63693</cdr:y>
    </cdr:to>
    <cdr:sp macro="" textlink="">
      <cdr:nvSpPr>
        <cdr:cNvPr id="6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427491" y="1536456"/>
          <a:ext cx="45719" cy="2036885"/>
        </a:xfrm>
        <a:prstGeom xmlns:a="http://schemas.openxmlformats.org/drawingml/2006/main" prst="line">
          <a:avLst/>
        </a:prstGeom>
        <a:ln xmlns:a="http://schemas.openxmlformats.org/drawingml/2006/main">
          <a:headEnd/>
          <a:tailEnd type="triangle" w="med" len="med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0.56981</cdr:x>
      <cdr:y>0.22656</cdr:y>
    </cdr:from>
    <cdr:to>
      <cdr:x>0.64739</cdr:x>
      <cdr:y>0.28266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5242912" y="1271058"/>
          <a:ext cx="713825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AR" sz="1100"/>
            <a:t>Release</a:t>
          </a:r>
        </a:p>
      </cdr:txBody>
    </cdr:sp>
  </cdr:relSizeAnchor>
  <cdr:relSizeAnchor xmlns:cdr="http://schemas.openxmlformats.org/drawingml/2006/chartDrawing">
    <cdr:from>
      <cdr:x>0.48874</cdr:x>
      <cdr:y>0.24775</cdr:y>
    </cdr:from>
    <cdr:to>
      <cdr:x>0.49371</cdr:x>
      <cdr:y>0.63824</cdr:y>
    </cdr:to>
    <cdr:sp macro="" textlink="">
      <cdr:nvSpPr>
        <cdr:cNvPr id="9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496980" y="1389918"/>
          <a:ext cx="45719" cy="219075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0.44386</cdr:x>
      <cdr:y>0.18222</cdr:y>
    </cdr:from>
    <cdr:to>
      <cdr:x>0.54323</cdr:x>
      <cdr:y>0.23832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084026" y="1022269"/>
          <a:ext cx="914318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AR" sz="1100"/>
            <a:t>Entrega Parcial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0.07758</cdr:x>
      <cdr:y>0.0561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0" y="0"/>
          <a:ext cx="713825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AR" sz="1100"/>
        </a:p>
      </cdr:txBody>
    </cdr:sp>
  </cdr:relSizeAnchor>
  <cdr:relSizeAnchor xmlns:cdr="http://schemas.openxmlformats.org/drawingml/2006/chartDrawing">
    <cdr:from>
      <cdr:x>0.55723</cdr:x>
      <cdr:y>0.36006</cdr:y>
    </cdr:from>
    <cdr:to>
      <cdr:x>0.5622</cdr:x>
      <cdr:y>0.63563</cdr:y>
    </cdr:to>
    <cdr:sp macro="" textlink="">
      <cdr:nvSpPr>
        <cdr:cNvPr id="12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127115" y="2020029"/>
          <a:ext cx="45729" cy="1546009"/>
        </a:xfrm>
        <a:prstGeom xmlns:a="http://schemas.openxmlformats.org/drawingml/2006/main" prst="line">
          <a:avLst/>
        </a:prstGeom>
        <a:ln xmlns:a="http://schemas.openxmlformats.org/drawingml/2006/main" w="12700" cap="rnd">
          <a:solidFill>
            <a:schemeClr val="accent5">
              <a:lumMod val="75000"/>
            </a:schemeClr>
          </a:solidFill>
          <a:prstDash val="lgDash"/>
          <a:headEnd/>
          <a:tailEnd type="triangle" w="med" len="med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-22151" y="23554"/>
    <xdr:ext cx="9201150" cy="56102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0.137</cdr:x>
      <cdr:y>0.10625</cdr:y>
    </cdr:to>
    <cdr:pic>
      <cdr:nvPicPr>
        <cdr:cNvPr id="4097" name="Picture 1" descr="Suris logo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0" y="-21981"/>
          <a:ext cx="1260558" cy="596086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</cdr:spPr>
    </cdr:pic>
  </cdr:relSizeAnchor>
  <cdr:relSizeAnchor xmlns:cdr="http://schemas.openxmlformats.org/drawingml/2006/chartDrawing">
    <cdr:from>
      <cdr:x>0.14675</cdr:x>
      <cdr:y>0.18385</cdr:y>
    </cdr:from>
    <cdr:to>
      <cdr:x>0.199</cdr:x>
      <cdr:y>0.18435</cdr:y>
    </cdr:to>
    <cdr:sp macro="" textlink="">
      <cdr:nvSpPr>
        <cdr:cNvPr id="4099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350229" y="1031440"/>
          <a:ext cx="480760" cy="280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0.33286</cdr:x>
      <cdr:y>0.45318</cdr:y>
    </cdr:from>
    <cdr:to>
      <cdr:x>0.35325</cdr:x>
      <cdr:y>0.49719</cdr:y>
    </cdr:to>
    <cdr:sp macro="" textlink="">
      <cdr:nvSpPr>
        <cdr:cNvPr id="4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062654" y="2542452"/>
          <a:ext cx="187657" cy="2469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0.22043</cdr:x>
      <cdr:y>0.79403</cdr:y>
    </cdr:from>
    <cdr:to>
      <cdr:x>0.71098</cdr:x>
      <cdr:y>0.80218</cdr:y>
    </cdr:to>
    <cdr:sp macro="" textlink="">
      <cdr:nvSpPr>
        <cdr:cNvPr id="5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028234" y="4454695"/>
          <a:ext cx="4513573" cy="4571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0.58987</cdr:x>
      <cdr:y>0.27387</cdr:y>
    </cdr:from>
    <cdr:to>
      <cdr:x>0.59484</cdr:x>
      <cdr:y>0.63693</cdr:y>
    </cdr:to>
    <cdr:sp macro="" textlink="">
      <cdr:nvSpPr>
        <cdr:cNvPr id="6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427491" y="1536456"/>
          <a:ext cx="45719" cy="2036885"/>
        </a:xfrm>
        <a:prstGeom xmlns:a="http://schemas.openxmlformats.org/drawingml/2006/main" prst="line">
          <a:avLst/>
        </a:prstGeom>
        <a:ln xmlns:a="http://schemas.openxmlformats.org/drawingml/2006/main">
          <a:headEnd/>
          <a:tailEnd type="triangle" w="med" len="med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0.56981</cdr:x>
      <cdr:y>0.22656</cdr:y>
    </cdr:from>
    <cdr:to>
      <cdr:x>0.64739</cdr:x>
      <cdr:y>0.28266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5242912" y="1271058"/>
          <a:ext cx="713825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AR" sz="1100"/>
            <a:t>Release</a:t>
          </a:r>
        </a:p>
      </cdr:txBody>
    </cdr:sp>
  </cdr:relSizeAnchor>
  <cdr:relSizeAnchor xmlns:cdr="http://schemas.openxmlformats.org/drawingml/2006/chartDrawing">
    <cdr:from>
      <cdr:x>0.48874</cdr:x>
      <cdr:y>0.24775</cdr:y>
    </cdr:from>
    <cdr:to>
      <cdr:x>0.49371</cdr:x>
      <cdr:y>0.63824</cdr:y>
    </cdr:to>
    <cdr:sp macro="" textlink="">
      <cdr:nvSpPr>
        <cdr:cNvPr id="9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496980" y="1389918"/>
          <a:ext cx="45719" cy="219075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0.44386</cdr:x>
      <cdr:y>0.18222</cdr:y>
    </cdr:from>
    <cdr:to>
      <cdr:x>0.54323</cdr:x>
      <cdr:y>0.23832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084026" y="1022269"/>
          <a:ext cx="914318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AR" sz="1100"/>
            <a:t>Entrega Parcial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0.07758</cdr:x>
      <cdr:y>0.0561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0" y="0"/>
          <a:ext cx="713825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AR" sz="1100"/>
        </a:p>
      </cdr:txBody>
    </cdr:sp>
  </cdr:relSizeAnchor>
  <cdr:relSizeAnchor xmlns:cdr="http://schemas.openxmlformats.org/drawingml/2006/chartDrawing">
    <cdr:from>
      <cdr:x>0.55165</cdr:x>
      <cdr:y>0.31043</cdr:y>
    </cdr:from>
    <cdr:to>
      <cdr:x>0.55662</cdr:x>
      <cdr:y>0.64216</cdr:y>
    </cdr:to>
    <cdr:sp macro="" textlink="">
      <cdr:nvSpPr>
        <cdr:cNvPr id="12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075827" y="1741606"/>
          <a:ext cx="45719" cy="1861042"/>
        </a:xfrm>
        <a:prstGeom xmlns:a="http://schemas.openxmlformats.org/drawingml/2006/main" prst="line">
          <a:avLst/>
        </a:prstGeom>
        <a:ln xmlns:a="http://schemas.openxmlformats.org/drawingml/2006/main" w="12700" cap="rnd">
          <a:solidFill>
            <a:schemeClr val="accent5">
              <a:lumMod val="75000"/>
            </a:schemeClr>
          </a:solidFill>
          <a:prstDash val="lgDash"/>
          <a:headEnd/>
          <a:tailEnd type="triangle" w="med" len="med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AR"/>
        </a:p>
      </cdr:txBody>
    </cdr:sp>
  </cdr:relSizeAnchor>
  <cdr:relSizeAnchor xmlns:cdr="http://schemas.openxmlformats.org/drawingml/2006/chartDrawing">
    <cdr:from>
      <cdr:x>0.59948</cdr:x>
      <cdr:y>0.30052</cdr:y>
    </cdr:from>
    <cdr:to>
      <cdr:x>0.64257</cdr:x>
      <cdr:y>0.36452</cdr:y>
    </cdr:to>
    <cdr:sp macro="" textlink="">
      <cdr:nvSpPr>
        <cdr:cNvPr id="13" name="Right Brace 12"/>
        <cdr:cNvSpPr/>
      </cdr:nvSpPr>
      <cdr:spPr>
        <a:xfrm xmlns:a="http://schemas.openxmlformats.org/drawingml/2006/main" rot="17609796">
          <a:off x="5534588" y="1667284"/>
          <a:ext cx="359055" cy="396465"/>
        </a:xfrm>
        <a:prstGeom xmlns:a="http://schemas.openxmlformats.org/drawingml/2006/main" prst="righ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0.63719</cdr:x>
      <cdr:y>0.26847</cdr:y>
    </cdr:from>
    <cdr:to>
      <cdr:x>0.71477</cdr:x>
      <cdr:y>0.32457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5862845" y="1506162"/>
          <a:ext cx="713825" cy="314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AR" sz="1100"/>
            <a:t>Estabilización</a:t>
          </a:r>
        </a:p>
      </cdr:txBody>
    </cdr:sp>
  </cdr:relSizeAnchor>
  <cdr:relSizeAnchor xmlns:cdr="http://schemas.openxmlformats.org/drawingml/2006/chartDrawing">
    <cdr:from>
      <cdr:x>0.24731</cdr:x>
      <cdr:y>0.49429</cdr:y>
    </cdr:from>
    <cdr:to>
      <cdr:x>0.36949</cdr:x>
      <cdr:y>0.55039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2275504" y="2773073"/>
          <a:ext cx="1124189" cy="31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s-AR" sz="1100"/>
            <a:t>Alerta Consumo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</xdr:row>
      <xdr:rowOff>47625</xdr:rowOff>
    </xdr:from>
    <xdr:to>
      <xdr:col>2</xdr:col>
      <xdr:colOff>542925</xdr:colOff>
      <xdr:row>4</xdr:row>
      <xdr:rowOff>95250</xdr:rowOff>
    </xdr:to>
    <xdr:pic>
      <xdr:nvPicPr>
        <xdr:cNvPr id="6170" name="Picture 9" descr="Suris 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4350" y="219075"/>
          <a:ext cx="121920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93</xdr:row>
      <xdr:rowOff>123825</xdr:rowOff>
    </xdr:from>
    <xdr:to>
      <xdr:col>13</xdr:col>
      <xdr:colOff>123825</xdr:colOff>
      <xdr:row>117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0.31217</cdr:x>
      <cdr:y>0.11806</cdr:y>
    </cdr:from>
    <cdr:to>
      <cdr:x>0.52292</cdr:x>
      <cdr:y>0.34559</cdr:y>
    </cdr:to>
    <cdr:sp macro="" textlink="">
      <cdr:nvSpPr>
        <cdr:cNvPr id="3" name="Straight Arrow Connector 2"/>
        <cdr:cNvSpPr/>
      </cdr:nvSpPr>
      <cdr:spPr>
        <a:xfrm xmlns:a="http://schemas.openxmlformats.org/drawingml/2006/main" rot="10800000" flipV="1">
          <a:off x="2247899" y="458787"/>
          <a:ext cx="1517571" cy="88423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0.50939</cdr:x>
      <cdr:y>0.27782</cdr:y>
    </cdr:from>
    <cdr:to>
      <cdr:x>0.72606</cdr:x>
      <cdr:y>0.45143</cdr:y>
    </cdr:to>
    <cdr:sp macro="" textlink="">
      <cdr:nvSpPr>
        <cdr:cNvPr id="4" name="Straight Arrow Connector 3"/>
        <cdr:cNvSpPr/>
      </cdr:nvSpPr>
      <cdr:spPr>
        <a:xfrm xmlns:a="http://schemas.openxmlformats.org/drawingml/2006/main" rot="10800000" flipV="1">
          <a:off x="3668072" y="1079645"/>
          <a:ext cx="1560195" cy="67468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0.78175</cdr:x>
      <cdr:y>0.48008</cdr:y>
    </cdr:from>
    <cdr:to>
      <cdr:x>0.87354</cdr:x>
      <cdr:y>0.61765</cdr:y>
    </cdr:to>
    <cdr:sp macro="" textlink="">
      <cdr:nvSpPr>
        <cdr:cNvPr id="5" name="Straight Arrow Connector 4"/>
        <cdr:cNvSpPr/>
      </cdr:nvSpPr>
      <cdr:spPr>
        <a:xfrm xmlns:a="http://schemas.openxmlformats.org/drawingml/2006/main" rot="10800000" flipV="1">
          <a:off x="5629275" y="1865673"/>
          <a:ext cx="660980" cy="5346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2">
    <pageSetUpPr fitToPage="1"/>
  </sheetPr>
  <dimension ref="A1:S93"/>
  <sheetViews>
    <sheetView zoomScale="85" zoomScaleNormal="85" workbookViewId="0">
      <selection activeCell="G21" sqref="G21"/>
    </sheetView>
  </sheetViews>
  <sheetFormatPr defaultColWidth="11.42578125" defaultRowHeight="12.75"/>
  <cols>
    <col min="1" max="1" width="50.7109375" customWidth="1"/>
    <col min="2" max="3" width="15.7109375" customWidth="1"/>
    <col min="4" max="4" width="15.7109375" style="4" customWidth="1"/>
    <col min="5" max="5" width="11" hidden="1" customWidth="1"/>
    <col min="6" max="6" width="15.42578125" hidden="1" customWidth="1"/>
    <col min="7" max="7" width="15.7109375" style="4" customWidth="1"/>
    <col min="8" max="8" width="9.42578125" style="4" hidden="1" customWidth="1"/>
    <col min="9" max="9" width="15.7109375" customWidth="1"/>
    <col min="10" max="10" width="11.42578125" style="174"/>
    <col min="11" max="11" width="122.5703125" style="174" customWidth="1"/>
    <col min="12" max="13" width="11.42578125" style="174"/>
  </cols>
  <sheetData>
    <row r="1" spans="1:19" ht="13.5" thickBot="1">
      <c r="A1" s="174"/>
      <c r="B1" s="174"/>
      <c r="C1" s="174"/>
      <c r="D1" s="176"/>
      <c r="E1" s="174"/>
      <c r="F1" s="174"/>
      <c r="G1" s="176"/>
      <c r="H1" s="176"/>
      <c r="I1" s="174"/>
    </row>
    <row r="2" spans="1:19" ht="15">
      <c r="A2" s="506"/>
      <c r="B2" s="507"/>
      <c r="C2" s="512"/>
      <c r="D2" s="513"/>
      <c r="E2" s="514" t="s">
        <v>87</v>
      </c>
      <c r="F2" s="515"/>
      <c r="G2" s="176"/>
      <c r="H2" s="176"/>
      <c r="I2" s="174"/>
    </row>
    <row r="3" spans="1:19" ht="15" customHeight="1" thickBot="1">
      <c r="A3" s="508"/>
      <c r="B3" s="509"/>
      <c r="C3" s="516" t="s">
        <v>91</v>
      </c>
      <c r="D3" s="517"/>
      <c r="E3" s="518" t="s">
        <v>92</v>
      </c>
      <c r="F3" s="519"/>
      <c r="G3" s="176"/>
      <c r="H3" s="176"/>
      <c r="I3" s="174"/>
    </row>
    <row r="4" spans="1:19" ht="15" customHeight="1">
      <c r="A4" s="508"/>
      <c r="B4" s="509"/>
      <c r="C4" s="520"/>
      <c r="D4" s="521"/>
      <c r="E4" s="522" t="s">
        <v>95</v>
      </c>
      <c r="F4" s="523"/>
      <c r="G4" s="176"/>
      <c r="H4" s="176"/>
      <c r="I4" s="174"/>
    </row>
    <row r="5" spans="1:19" ht="15" customHeight="1" thickBot="1">
      <c r="A5" s="510"/>
      <c r="B5" s="511"/>
      <c r="C5" s="526"/>
      <c r="D5" s="527"/>
      <c r="E5" s="524"/>
      <c r="F5" s="525"/>
      <c r="G5" s="176"/>
      <c r="H5" s="176"/>
      <c r="I5" s="174"/>
    </row>
    <row r="6" spans="1:19" ht="15" customHeight="1" thickBot="1">
      <c r="A6" s="528" t="s">
        <v>89</v>
      </c>
      <c r="B6" s="529"/>
      <c r="C6" s="529"/>
      <c r="D6" s="529"/>
      <c r="E6" s="529"/>
      <c r="F6" s="530"/>
      <c r="G6" s="176"/>
      <c r="H6" s="176"/>
      <c r="I6" s="174"/>
      <c r="K6" s="175"/>
      <c r="L6" s="175"/>
      <c r="M6" s="175"/>
      <c r="N6" s="116"/>
      <c r="O6" s="116"/>
      <c r="P6" s="116"/>
      <c r="Q6" s="116"/>
      <c r="R6" s="116"/>
      <c r="S6" s="116"/>
    </row>
    <row r="7" spans="1:19" ht="15" customHeight="1" thickBot="1">
      <c r="A7" s="179" t="s">
        <v>96</v>
      </c>
      <c r="B7" s="180"/>
      <c r="C7" s="181" t="s">
        <v>97</v>
      </c>
      <c r="D7" s="180"/>
      <c r="E7" s="181" t="s">
        <v>90</v>
      </c>
      <c r="F7" s="180"/>
      <c r="G7" s="176"/>
      <c r="H7" s="176"/>
      <c r="I7" s="174"/>
      <c r="K7" s="175"/>
      <c r="L7" s="175"/>
      <c r="M7" s="175"/>
      <c r="N7" s="116"/>
      <c r="O7" s="116"/>
      <c r="P7" s="116"/>
      <c r="Q7" s="116"/>
      <c r="R7" s="116"/>
      <c r="S7" s="116"/>
    </row>
    <row r="8" spans="1:19" ht="20.25">
      <c r="A8" s="177" t="s">
        <v>119</v>
      </c>
      <c r="B8" s="174"/>
      <c r="C8" s="174"/>
      <c r="D8" s="176"/>
      <c r="E8" s="174"/>
      <c r="F8" s="174"/>
      <c r="G8" s="176"/>
      <c r="H8" s="176"/>
      <c r="I8" s="174"/>
      <c r="K8" s="175"/>
      <c r="L8" s="175"/>
      <c r="M8" s="175"/>
      <c r="N8" s="116"/>
      <c r="O8" s="116"/>
      <c r="P8" s="116"/>
      <c r="Q8" s="116"/>
      <c r="R8" s="116"/>
      <c r="S8" s="116"/>
    </row>
    <row r="9" spans="1:19" ht="20.25">
      <c r="A9" s="177" t="s">
        <v>120</v>
      </c>
      <c r="B9" s="177"/>
      <c r="C9" s="174"/>
      <c r="D9" s="176"/>
      <c r="E9" s="174"/>
      <c r="F9" s="174"/>
      <c r="G9" s="176"/>
      <c r="H9" s="176"/>
      <c r="I9" s="174"/>
      <c r="K9" s="175"/>
      <c r="L9" s="175"/>
      <c r="M9" s="175"/>
      <c r="N9" s="116"/>
      <c r="O9" s="116"/>
      <c r="P9" s="116"/>
      <c r="Q9" s="116"/>
      <c r="R9" s="116"/>
      <c r="S9" s="116"/>
    </row>
    <row r="10" spans="1:19" ht="20.25">
      <c r="A10" s="178" t="s">
        <v>65</v>
      </c>
      <c r="B10" s="177"/>
      <c r="C10" s="174"/>
      <c r="D10" s="176"/>
      <c r="E10" s="174"/>
      <c r="F10" s="174"/>
      <c r="G10" s="176"/>
      <c r="H10" s="176"/>
      <c r="I10" s="174"/>
      <c r="K10" s="175"/>
      <c r="L10" s="175"/>
      <c r="M10" s="175"/>
      <c r="N10" s="116"/>
      <c r="O10" s="116"/>
      <c r="P10" s="116"/>
      <c r="Q10" s="116"/>
      <c r="R10" s="116"/>
      <c r="S10" s="116"/>
    </row>
    <row r="11" spans="1:19">
      <c r="A11" s="174"/>
      <c r="B11" s="174"/>
      <c r="C11" s="174"/>
      <c r="D11" s="176"/>
      <c r="E11" s="174"/>
      <c r="F11" s="174"/>
      <c r="G11" s="176"/>
      <c r="H11" s="176"/>
      <c r="I11" s="174"/>
      <c r="K11" s="175"/>
      <c r="L11" s="175"/>
      <c r="M11" s="175"/>
      <c r="N11" s="116"/>
      <c r="O11" s="116"/>
      <c r="P11" s="116"/>
      <c r="Q11" s="116"/>
      <c r="R11" s="116"/>
      <c r="S11" s="116"/>
    </row>
    <row r="12" spans="1:19" ht="25.5">
      <c r="A12" s="22" t="s">
        <v>55</v>
      </c>
      <c r="B12" s="49" t="s">
        <v>57</v>
      </c>
      <c r="C12" s="49" t="s">
        <v>1</v>
      </c>
      <c r="D12" s="50" t="s">
        <v>16</v>
      </c>
      <c r="E12" s="49" t="s">
        <v>2</v>
      </c>
      <c r="F12" s="49" t="s">
        <v>30</v>
      </c>
      <c r="G12" s="50" t="s">
        <v>53</v>
      </c>
      <c r="H12" s="50" t="s">
        <v>54</v>
      </c>
      <c r="I12" s="51" t="s">
        <v>56</v>
      </c>
      <c r="K12" s="175"/>
      <c r="L12" s="175"/>
      <c r="M12" s="175"/>
      <c r="N12" s="116"/>
      <c r="O12" s="116"/>
      <c r="P12" s="116"/>
      <c r="Q12" s="116"/>
      <c r="R12" s="116"/>
      <c r="S12" s="116"/>
    </row>
    <row r="13" spans="1:19" ht="18" customHeight="1">
      <c r="A13" s="165"/>
      <c r="B13" s="166"/>
      <c r="C13" s="167"/>
      <c r="D13" s="168"/>
      <c r="E13" s="167"/>
      <c r="F13" s="167"/>
      <c r="G13" s="168"/>
      <c r="H13" s="168"/>
      <c r="I13" s="169"/>
      <c r="K13" s="175"/>
      <c r="L13" s="175"/>
      <c r="M13" s="175"/>
      <c r="N13" s="116"/>
      <c r="O13" s="116"/>
      <c r="P13" s="116"/>
      <c r="Q13" s="116"/>
      <c r="R13" s="116"/>
      <c r="S13" s="116"/>
    </row>
    <row r="14" spans="1:19" ht="18" customHeight="1" thickBot="1">
      <c r="A14" s="277" t="s">
        <v>149</v>
      </c>
      <c r="B14" s="1"/>
      <c r="C14" s="292" t="s">
        <v>199</v>
      </c>
      <c r="D14" s="3" t="s">
        <v>17</v>
      </c>
      <c r="E14" s="1"/>
      <c r="F14" s="2">
        <f>+'Sprint1 '!D28</f>
        <v>11</v>
      </c>
      <c r="G14" s="3" t="s">
        <v>49</v>
      </c>
      <c r="H14" s="18"/>
      <c r="I14" s="295"/>
      <c r="K14" s="175"/>
      <c r="L14" s="175"/>
      <c r="M14" s="175"/>
      <c r="N14" s="116"/>
      <c r="O14" s="116"/>
      <c r="P14" s="116"/>
      <c r="Q14" s="116"/>
      <c r="R14" s="116"/>
      <c r="S14" s="116"/>
    </row>
    <row r="15" spans="1:19" ht="18" customHeight="1">
      <c r="A15" s="278" t="s">
        <v>150</v>
      </c>
      <c r="B15" s="1"/>
      <c r="C15" s="293">
        <v>11.709890109890109</v>
      </c>
      <c r="D15" s="3" t="s">
        <v>17</v>
      </c>
      <c r="E15" s="1"/>
      <c r="F15" s="2">
        <f>+'Sprint1 '!D29</f>
        <v>0</v>
      </c>
      <c r="G15" s="3" t="s">
        <v>49</v>
      </c>
      <c r="H15" s="18">
        <f t="shared" ref="H15:H23" si="0">VLOOKUP(G15,$N$17:$O$27,2,0)</f>
        <v>300</v>
      </c>
      <c r="I15" s="296">
        <v>2</v>
      </c>
      <c r="K15" s="175"/>
      <c r="L15" s="175"/>
      <c r="M15" s="175"/>
      <c r="N15" s="116"/>
      <c r="O15" s="116"/>
      <c r="P15" s="116"/>
      <c r="Q15" s="116"/>
      <c r="R15" s="116"/>
      <c r="S15" s="116"/>
    </row>
    <row r="16" spans="1:19" ht="18" customHeight="1">
      <c r="A16" s="279" t="s">
        <v>151</v>
      </c>
      <c r="B16" s="1"/>
      <c r="C16" s="293" t="s">
        <v>199</v>
      </c>
      <c r="D16" s="3" t="s">
        <v>17</v>
      </c>
      <c r="E16" s="1"/>
      <c r="F16" s="2">
        <f>+'Sprint1 '!D30</f>
        <v>9</v>
      </c>
      <c r="G16" s="3" t="s">
        <v>49</v>
      </c>
      <c r="H16" s="18">
        <f t="shared" si="0"/>
        <v>300</v>
      </c>
      <c r="I16" s="296">
        <v>2</v>
      </c>
      <c r="K16" s="175"/>
      <c r="L16" s="175"/>
      <c r="M16" s="175"/>
      <c r="N16" s="117" t="s">
        <v>47</v>
      </c>
      <c r="O16" s="117"/>
      <c r="P16" s="118"/>
      <c r="Q16" s="119"/>
      <c r="R16" s="505" t="s">
        <v>16</v>
      </c>
      <c r="S16" s="505"/>
    </row>
    <row r="17" spans="1:19" ht="18" customHeight="1" thickBot="1">
      <c r="A17" s="280" t="s">
        <v>152</v>
      </c>
      <c r="B17" s="1"/>
      <c r="C17" s="293" t="s">
        <v>199</v>
      </c>
      <c r="D17" s="3" t="s">
        <v>17</v>
      </c>
      <c r="E17" s="1"/>
      <c r="F17" s="2">
        <f>+'Sprint1 '!D31</f>
        <v>3</v>
      </c>
      <c r="G17" s="3" t="s">
        <v>49</v>
      </c>
      <c r="H17" s="18">
        <f t="shared" si="0"/>
        <v>300</v>
      </c>
      <c r="I17" s="296">
        <v>2</v>
      </c>
      <c r="K17" s="175"/>
      <c r="L17" s="175"/>
      <c r="M17" s="175"/>
      <c r="N17" s="116" t="s">
        <v>52</v>
      </c>
      <c r="O17" s="116">
        <v>100</v>
      </c>
      <c r="P17" s="116"/>
      <c r="Q17" s="116"/>
      <c r="R17" s="116" t="s">
        <v>17</v>
      </c>
      <c r="S17" s="116">
        <v>0</v>
      </c>
    </row>
    <row r="18" spans="1:19" ht="18" customHeight="1">
      <c r="A18" s="281" t="s">
        <v>153</v>
      </c>
      <c r="B18" s="1"/>
      <c r="C18" s="293" t="s">
        <v>199</v>
      </c>
      <c r="D18" s="3" t="s">
        <v>17</v>
      </c>
      <c r="E18" s="1"/>
      <c r="F18" s="2">
        <f>+'Sprint1 '!D32</f>
        <v>0</v>
      </c>
      <c r="G18" s="3" t="s">
        <v>49</v>
      </c>
      <c r="H18" s="18">
        <f t="shared" si="0"/>
        <v>300</v>
      </c>
      <c r="I18" s="297"/>
      <c r="K18" s="175"/>
      <c r="L18" s="175"/>
      <c r="M18" s="175"/>
      <c r="N18" s="116" t="s">
        <v>48</v>
      </c>
      <c r="O18" s="116">
        <v>200</v>
      </c>
      <c r="P18" s="116"/>
      <c r="Q18" s="116"/>
      <c r="R18" s="116" t="s">
        <v>18</v>
      </c>
      <c r="S18" s="116">
        <v>0.1</v>
      </c>
    </row>
    <row r="19" spans="1:19" ht="18" customHeight="1" thickBot="1">
      <c r="A19" s="282" t="s">
        <v>153</v>
      </c>
      <c r="B19" s="1"/>
      <c r="C19" s="293" t="s">
        <v>199</v>
      </c>
      <c r="D19" s="3" t="s">
        <v>17</v>
      </c>
      <c r="E19" s="1"/>
      <c r="F19" s="2">
        <f>+'Sprint1 '!D33</f>
        <v>0</v>
      </c>
      <c r="G19" s="3" t="s">
        <v>49</v>
      </c>
      <c r="H19" s="18">
        <f t="shared" si="0"/>
        <v>300</v>
      </c>
      <c r="I19" s="298">
        <v>2</v>
      </c>
      <c r="K19" s="175"/>
      <c r="L19" s="175"/>
      <c r="M19" s="175"/>
      <c r="N19" s="116" t="s">
        <v>49</v>
      </c>
      <c r="O19" s="116">
        <v>300</v>
      </c>
      <c r="P19" s="116"/>
      <c r="Q19" s="116"/>
      <c r="R19" s="116" t="s">
        <v>19</v>
      </c>
      <c r="S19" s="116">
        <v>0.2</v>
      </c>
    </row>
    <row r="20" spans="1:19" ht="18" customHeight="1">
      <c r="A20" s="281" t="s">
        <v>154</v>
      </c>
      <c r="B20" s="1"/>
      <c r="C20" s="293"/>
      <c r="D20" s="3" t="s">
        <v>17</v>
      </c>
      <c r="E20" s="1"/>
      <c r="F20" s="2">
        <f>+'Sprint1 '!D34</f>
        <v>0</v>
      </c>
      <c r="G20" s="3" t="s">
        <v>48</v>
      </c>
      <c r="H20" s="18">
        <f t="shared" si="0"/>
        <v>200</v>
      </c>
      <c r="I20" s="297"/>
      <c r="K20" s="175"/>
      <c r="L20" s="175"/>
      <c r="M20" s="175"/>
      <c r="N20" s="116" t="s">
        <v>50</v>
      </c>
      <c r="O20" s="116">
        <v>400</v>
      </c>
      <c r="P20" s="116"/>
      <c r="Q20" s="116"/>
      <c r="R20" s="116" t="s">
        <v>20</v>
      </c>
      <c r="S20" s="116">
        <v>0.4</v>
      </c>
    </row>
    <row r="21" spans="1:19" ht="18" customHeight="1">
      <c r="A21" s="283" t="s">
        <v>154</v>
      </c>
      <c r="B21" s="1"/>
      <c r="C21" s="293">
        <v>11.709890109890109</v>
      </c>
      <c r="D21" s="3" t="s">
        <v>17</v>
      </c>
      <c r="E21" s="1"/>
      <c r="F21" s="2">
        <f>+'Sprint1 '!D35</f>
        <v>0</v>
      </c>
      <c r="G21" s="3" t="s">
        <v>49</v>
      </c>
      <c r="H21" s="18">
        <f t="shared" si="0"/>
        <v>300</v>
      </c>
      <c r="I21" s="298">
        <v>1</v>
      </c>
      <c r="K21" s="175"/>
      <c r="L21" s="175"/>
      <c r="M21" s="175"/>
      <c r="N21" s="116" t="s">
        <v>51</v>
      </c>
      <c r="O21" s="116">
        <v>500</v>
      </c>
      <c r="P21" s="116"/>
      <c r="Q21" s="116"/>
      <c r="R21" s="116" t="s">
        <v>21</v>
      </c>
      <c r="S21" s="116">
        <v>0.6</v>
      </c>
    </row>
    <row r="22" spans="1:19" ht="18" customHeight="1">
      <c r="A22" s="283" t="s">
        <v>155</v>
      </c>
      <c r="B22" s="1"/>
      <c r="C22" s="293">
        <v>29.274725274725274</v>
      </c>
      <c r="D22" s="3" t="s">
        <v>17</v>
      </c>
      <c r="E22" s="1"/>
      <c r="F22" s="2">
        <f>+'Sprint1 '!D36</f>
        <v>0</v>
      </c>
      <c r="G22" s="3" t="s">
        <v>49</v>
      </c>
      <c r="H22" s="18">
        <f t="shared" si="0"/>
        <v>300</v>
      </c>
      <c r="I22" s="298">
        <v>1</v>
      </c>
      <c r="K22" s="175"/>
      <c r="L22" s="175"/>
      <c r="M22" s="175"/>
      <c r="N22" s="116"/>
      <c r="O22" s="116"/>
      <c r="P22" s="116"/>
      <c r="Q22" s="116"/>
      <c r="R22" s="116"/>
      <c r="S22" s="116"/>
    </row>
    <row r="23" spans="1:19" ht="18" customHeight="1">
      <c r="A23" s="283" t="s">
        <v>156</v>
      </c>
      <c r="B23" s="1"/>
      <c r="C23" s="293">
        <v>11.709890109890109</v>
      </c>
      <c r="D23" s="3" t="s">
        <v>17</v>
      </c>
      <c r="E23" s="1"/>
      <c r="F23" s="2">
        <f>+'Sprint1 '!D37</f>
        <v>0</v>
      </c>
      <c r="G23" s="3" t="s">
        <v>49</v>
      </c>
      <c r="H23" s="18">
        <f t="shared" si="0"/>
        <v>300</v>
      </c>
      <c r="I23" s="298">
        <v>1</v>
      </c>
      <c r="K23" s="175"/>
      <c r="L23" s="175"/>
      <c r="M23" s="175"/>
      <c r="N23" s="116"/>
      <c r="O23" s="116"/>
      <c r="P23" s="116"/>
      <c r="Q23" s="116"/>
      <c r="R23" s="116"/>
      <c r="S23" s="116"/>
    </row>
    <row r="24" spans="1:19" ht="18" customHeight="1">
      <c r="A24" s="283" t="s">
        <v>157</v>
      </c>
      <c r="B24" s="1"/>
      <c r="C24" s="293">
        <v>11.709890109890109</v>
      </c>
      <c r="D24" s="3" t="s">
        <v>17</v>
      </c>
      <c r="E24" s="1"/>
      <c r="F24" s="2">
        <f>+'Sprint1 '!D38</f>
        <v>0</v>
      </c>
      <c r="G24" s="3" t="s">
        <v>49</v>
      </c>
      <c r="H24" s="3"/>
      <c r="I24" s="298">
        <v>1</v>
      </c>
    </row>
    <row r="25" spans="1:19" ht="18" customHeight="1">
      <c r="A25" s="283" t="s">
        <v>158</v>
      </c>
      <c r="B25" s="1"/>
      <c r="C25" s="293">
        <v>29.274725274725274</v>
      </c>
      <c r="D25" s="3" t="s">
        <v>17</v>
      </c>
      <c r="E25" s="1"/>
      <c r="F25" s="2">
        <f>+'Sprint1 '!D39</f>
        <v>0</v>
      </c>
      <c r="G25" s="3" t="s">
        <v>49</v>
      </c>
      <c r="H25" s="3"/>
      <c r="I25" s="298">
        <v>1</v>
      </c>
    </row>
    <row r="26" spans="1:19" ht="18" customHeight="1">
      <c r="A26" s="283" t="s">
        <v>159</v>
      </c>
      <c r="B26" s="1"/>
      <c r="C26" s="293">
        <v>29.274725274725274</v>
      </c>
      <c r="D26" s="3" t="s">
        <v>17</v>
      </c>
      <c r="E26" s="1"/>
      <c r="F26" s="2">
        <f>+'Sprint1 '!D40</f>
        <v>10</v>
      </c>
      <c r="G26" s="3" t="s">
        <v>49</v>
      </c>
      <c r="H26" s="3"/>
      <c r="I26" s="298">
        <v>1</v>
      </c>
    </row>
    <row r="27" spans="1:19" ht="18" customHeight="1">
      <c r="A27" s="284" t="s">
        <v>160</v>
      </c>
      <c r="B27" s="167"/>
      <c r="C27" s="293">
        <v>13.173626373626373</v>
      </c>
      <c r="D27" s="168"/>
      <c r="E27" s="167"/>
      <c r="F27" s="167"/>
      <c r="G27" s="168"/>
      <c r="H27" s="168"/>
      <c r="I27" s="298">
        <v>1</v>
      </c>
    </row>
    <row r="28" spans="1:19" ht="18" customHeight="1">
      <c r="A28" s="284" t="s">
        <v>161</v>
      </c>
      <c r="B28" s="1"/>
      <c r="C28" s="293">
        <v>4.3912087912087907</v>
      </c>
      <c r="D28" s="3" t="s">
        <v>17</v>
      </c>
      <c r="E28" s="1"/>
      <c r="F28" s="2">
        <f>+'Sprint1 '!D42</f>
        <v>0</v>
      </c>
      <c r="G28" s="3" t="s">
        <v>49</v>
      </c>
      <c r="H28" s="3"/>
      <c r="I28" s="298">
        <v>1</v>
      </c>
    </row>
    <row r="29" spans="1:19" ht="18" customHeight="1">
      <c r="A29" s="284" t="s">
        <v>162</v>
      </c>
      <c r="B29" s="1"/>
      <c r="C29" s="293">
        <v>4.3912087912087907</v>
      </c>
      <c r="D29" s="3" t="s">
        <v>17</v>
      </c>
      <c r="E29" s="1"/>
      <c r="F29" s="2">
        <f>+'Sprint1 '!D43</f>
        <v>0</v>
      </c>
      <c r="G29" s="3" t="s">
        <v>48</v>
      </c>
      <c r="H29" s="3"/>
      <c r="I29" s="298">
        <v>1</v>
      </c>
    </row>
    <row r="30" spans="1:19" ht="18" customHeight="1">
      <c r="A30" s="284" t="s">
        <v>163</v>
      </c>
      <c r="B30" s="1"/>
      <c r="C30" s="293">
        <v>4.3912087912087907</v>
      </c>
      <c r="D30" s="3" t="s">
        <v>17</v>
      </c>
      <c r="E30" s="1"/>
      <c r="F30" s="2">
        <f>+'Sprint1 '!D44</f>
        <v>11</v>
      </c>
      <c r="G30" s="3" t="s">
        <v>48</v>
      </c>
      <c r="H30" s="3"/>
      <c r="I30" s="298">
        <v>1</v>
      </c>
    </row>
    <row r="31" spans="1:19" ht="18" customHeight="1">
      <c r="A31" s="283" t="s">
        <v>164</v>
      </c>
      <c r="B31" s="1"/>
      <c r="C31" s="293">
        <v>29.274725274725274</v>
      </c>
      <c r="D31" s="3" t="s">
        <v>17</v>
      </c>
      <c r="E31" s="1"/>
      <c r="F31" s="2">
        <f>+'Sprint1 '!D45</f>
        <v>0</v>
      </c>
      <c r="G31" s="3" t="s">
        <v>48</v>
      </c>
      <c r="H31" s="3"/>
      <c r="I31" s="298">
        <v>1</v>
      </c>
    </row>
    <row r="32" spans="1:19" ht="18" customHeight="1">
      <c r="A32" s="285" t="s">
        <v>165</v>
      </c>
      <c r="B32" s="167"/>
      <c r="C32" s="293" t="s">
        <v>199</v>
      </c>
      <c r="D32" s="168"/>
      <c r="E32" s="167"/>
      <c r="F32" s="167"/>
      <c r="G32" s="168"/>
      <c r="H32" s="168"/>
      <c r="I32" s="298">
        <v>2</v>
      </c>
    </row>
    <row r="33" spans="1:9" ht="18" customHeight="1">
      <c r="A33" s="283" t="s">
        <v>166</v>
      </c>
      <c r="B33" s="1"/>
      <c r="C33" s="293">
        <v>11.709890109890109</v>
      </c>
      <c r="D33" s="3" t="s">
        <v>17</v>
      </c>
      <c r="E33" s="1"/>
      <c r="F33" s="2">
        <f>+'Sprint1 '!D47</f>
        <v>0</v>
      </c>
      <c r="G33" s="3" t="s">
        <v>49</v>
      </c>
      <c r="H33" s="3"/>
      <c r="I33" s="298">
        <v>1</v>
      </c>
    </row>
    <row r="34" spans="1:9" ht="18" customHeight="1">
      <c r="A34" s="283" t="s">
        <v>167</v>
      </c>
      <c r="B34" s="1"/>
      <c r="C34" s="293">
        <v>29.274725274725274</v>
      </c>
      <c r="D34" s="3" t="s">
        <v>17</v>
      </c>
      <c r="E34" s="1"/>
      <c r="F34" s="2">
        <f>+'Sprint1 '!D48</f>
        <v>0</v>
      </c>
      <c r="G34" s="3" t="s">
        <v>48</v>
      </c>
      <c r="H34" s="3"/>
      <c r="I34" s="298">
        <v>1</v>
      </c>
    </row>
    <row r="35" spans="1:9" ht="18" customHeight="1">
      <c r="A35" s="286" t="s">
        <v>168</v>
      </c>
      <c r="B35" s="167"/>
      <c r="C35" s="293" t="s">
        <v>199</v>
      </c>
      <c r="D35" s="168"/>
      <c r="E35" s="167"/>
      <c r="F35" s="167"/>
      <c r="G35" s="168"/>
      <c r="H35" s="168"/>
      <c r="I35" s="298">
        <v>2</v>
      </c>
    </row>
    <row r="36" spans="1:9" ht="18" customHeight="1">
      <c r="A36" s="287" t="s">
        <v>169</v>
      </c>
      <c r="B36" s="1"/>
      <c r="C36" s="293">
        <v>52.694505494505492</v>
      </c>
      <c r="D36" s="3" t="s">
        <v>17</v>
      </c>
      <c r="E36" s="1"/>
      <c r="F36" s="2">
        <f>+'Sprint1 '!D50</f>
        <v>0</v>
      </c>
      <c r="G36" s="3" t="s">
        <v>49</v>
      </c>
      <c r="H36" s="3"/>
      <c r="I36" s="298">
        <v>2</v>
      </c>
    </row>
    <row r="37" spans="1:9" ht="18" customHeight="1">
      <c r="A37" s="285" t="s">
        <v>165</v>
      </c>
      <c r="B37" s="1"/>
      <c r="C37" s="293" t="s">
        <v>199</v>
      </c>
      <c r="D37" s="3" t="s">
        <v>17</v>
      </c>
      <c r="E37" s="1"/>
      <c r="F37" s="2">
        <f>+'Sprint1 '!D51</f>
        <v>5</v>
      </c>
      <c r="G37" s="3" t="s">
        <v>48</v>
      </c>
      <c r="H37" s="3"/>
      <c r="I37" s="298">
        <v>2</v>
      </c>
    </row>
    <row r="38" spans="1:9" ht="18" customHeight="1">
      <c r="A38" s="283" t="s">
        <v>170</v>
      </c>
      <c r="B38" s="167"/>
      <c r="C38" s="293">
        <v>52.694505494505492</v>
      </c>
      <c r="D38" s="168"/>
      <c r="E38" s="167"/>
      <c r="F38" s="167"/>
      <c r="G38" s="168"/>
      <c r="H38" s="168"/>
      <c r="I38" s="298">
        <v>2</v>
      </c>
    </row>
    <row r="39" spans="1:9" ht="18" customHeight="1">
      <c r="A39" s="283" t="s">
        <v>171</v>
      </c>
      <c r="B39" s="1"/>
      <c r="C39" s="293">
        <v>29.274725274725274</v>
      </c>
      <c r="D39" s="3" t="s">
        <v>17</v>
      </c>
      <c r="E39" s="1"/>
      <c r="F39" s="2">
        <f>+'Sprint1 '!D53</f>
        <v>10</v>
      </c>
      <c r="G39" s="3" t="s">
        <v>48</v>
      </c>
      <c r="H39" s="3"/>
      <c r="I39" s="298">
        <v>2</v>
      </c>
    </row>
    <row r="40" spans="1:9">
      <c r="A40" s="283" t="s">
        <v>172</v>
      </c>
      <c r="B40" s="170"/>
      <c r="C40" s="293" t="s">
        <v>199</v>
      </c>
      <c r="D40" s="171"/>
      <c r="E40" s="170"/>
      <c r="F40" s="170"/>
      <c r="G40" s="171"/>
      <c r="H40" s="171"/>
      <c r="I40" s="298">
        <v>2</v>
      </c>
    </row>
    <row r="41" spans="1:9">
      <c r="A41" s="283" t="s">
        <v>173</v>
      </c>
      <c r="B41" s="1"/>
      <c r="C41" s="293">
        <v>29.274725274725274</v>
      </c>
      <c r="D41" s="3" t="s">
        <v>17</v>
      </c>
      <c r="E41" s="1"/>
      <c r="F41" s="2">
        <f>+'Sprint1 '!D63</f>
        <v>4.5507692307692196</v>
      </c>
      <c r="G41" s="3" t="s">
        <v>48</v>
      </c>
      <c r="H41" s="3"/>
      <c r="I41" s="298">
        <v>2</v>
      </c>
    </row>
    <row r="42" spans="1:9">
      <c r="A42" s="288" t="s">
        <v>174</v>
      </c>
      <c r="C42" s="293">
        <v>29.274725274725274</v>
      </c>
      <c r="D42" s="3" t="s">
        <v>17</v>
      </c>
      <c r="E42" s="1"/>
      <c r="F42" s="2">
        <f>+'Sprint1 '!D64</f>
        <v>0</v>
      </c>
      <c r="G42" s="3" t="s">
        <v>48</v>
      </c>
      <c r="H42" s="3"/>
      <c r="I42" s="298">
        <v>2</v>
      </c>
    </row>
    <row r="43" spans="1:9">
      <c r="A43" s="288" t="s">
        <v>175</v>
      </c>
      <c r="C43" s="293" t="s">
        <v>199</v>
      </c>
      <c r="D43" s="3" t="s">
        <v>17</v>
      </c>
      <c r="E43" s="1"/>
      <c r="F43" s="2">
        <f>+'Sprint1 '!D65</f>
        <v>0</v>
      </c>
      <c r="G43" s="3" t="s">
        <v>48</v>
      </c>
      <c r="H43" s="3"/>
      <c r="I43" s="298">
        <v>2</v>
      </c>
    </row>
    <row r="44" spans="1:9">
      <c r="A44" s="283" t="s">
        <v>176</v>
      </c>
      <c r="B44" s="174"/>
      <c r="C44" s="293">
        <v>29.274725274725274</v>
      </c>
      <c r="D44" s="3" t="s">
        <v>17</v>
      </c>
      <c r="E44" s="1"/>
      <c r="F44" s="2">
        <f>+'Sprint1 '!D66</f>
        <v>0</v>
      </c>
      <c r="G44" s="3" t="s">
        <v>48</v>
      </c>
      <c r="H44" s="3"/>
      <c r="I44" s="298">
        <v>3</v>
      </c>
    </row>
    <row r="45" spans="1:9">
      <c r="A45" s="282" t="s">
        <v>168</v>
      </c>
      <c r="B45" s="174"/>
      <c r="C45" s="293" t="s">
        <v>199</v>
      </c>
      <c r="D45" s="3" t="s">
        <v>17</v>
      </c>
      <c r="E45" s="1"/>
      <c r="F45" s="2">
        <f>+'Sprint1 '!D67</f>
        <v>0</v>
      </c>
      <c r="G45" s="3" t="s">
        <v>48</v>
      </c>
      <c r="H45" s="3"/>
      <c r="I45" s="298">
        <v>3</v>
      </c>
    </row>
    <row r="46" spans="1:9">
      <c r="A46" s="283" t="s">
        <v>177</v>
      </c>
      <c r="B46" s="174"/>
      <c r="C46" s="293">
        <v>52.694505494505492</v>
      </c>
      <c r="D46" s="3" t="s">
        <v>17</v>
      </c>
      <c r="E46" s="1"/>
      <c r="F46" s="2">
        <f>+'Sprint1 '!D68</f>
        <v>0</v>
      </c>
      <c r="G46" s="3" t="s">
        <v>48</v>
      </c>
      <c r="H46" s="3"/>
      <c r="I46" s="298">
        <v>3</v>
      </c>
    </row>
    <row r="47" spans="1:9">
      <c r="A47" s="283" t="s">
        <v>178</v>
      </c>
      <c r="B47" s="174"/>
      <c r="C47" s="293" t="s">
        <v>199</v>
      </c>
      <c r="D47" s="3" t="s">
        <v>17</v>
      </c>
      <c r="E47" s="1"/>
      <c r="F47" s="2">
        <f>+'Sprint1 '!D69</f>
        <v>0</v>
      </c>
      <c r="G47" s="3" t="s">
        <v>48</v>
      </c>
      <c r="H47" s="3"/>
      <c r="I47" s="298">
        <v>3</v>
      </c>
    </row>
    <row r="48" spans="1:9">
      <c r="A48" s="283" t="s">
        <v>179</v>
      </c>
      <c r="B48" s="174"/>
      <c r="C48" s="293">
        <v>11.709890109890109</v>
      </c>
      <c r="D48" s="3" t="s">
        <v>17</v>
      </c>
      <c r="E48" s="1"/>
      <c r="F48" s="2">
        <f>+'Sprint1 '!D70</f>
        <v>0</v>
      </c>
      <c r="G48" s="3" t="s">
        <v>48</v>
      </c>
      <c r="H48" s="3"/>
      <c r="I48" s="298">
        <v>3</v>
      </c>
    </row>
    <row r="49" spans="1:9">
      <c r="A49" s="283" t="s">
        <v>180</v>
      </c>
      <c r="B49" s="174"/>
      <c r="C49" s="293">
        <v>29.274725274725274</v>
      </c>
      <c r="D49" s="3" t="s">
        <v>17</v>
      </c>
      <c r="E49" s="1"/>
      <c r="F49" s="2">
        <f>+'Sprint1 '!D71</f>
        <v>0</v>
      </c>
      <c r="G49" s="3" t="s">
        <v>48</v>
      </c>
      <c r="H49" s="3"/>
      <c r="I49" s="298">
        <v>3</v>
      </c>
    </row>
    <row r="50" spans="1:9">
      <c r="A50" s="283" t="s">
        <v>181</v>
      </c>
      <c r="B50" s="174"/>
      <c r="C50" s="293">
        <v>29.274725274725274</v>
      </c>
      <c r="D50" s="3" t="s">
        <v>17</v>
      </c>
      <c r="E50" s="1"/>
      <c r="F50" s="2">
        <f>+'Sprint1 '!D72</f>
        <v>0</v>
      </c>
      <c r="G50" s="3" t="s">
        <v>48</v>
      </c>
      <c r="H50" s="3"/>
      <c r="I50" s="298">
        <v>3</v>
      </c>
    </row>
    <row r="51" spans="1:9">
      <c r="A51" s="283" t="s">
        <v>182</v>
      </c>
      <c r="B51" s="174"/>
      <c r="C51" s="293">
        <v>29.274725274725274</v>
      </c>
      <c r="D51" s="3" t="s">
        <v>17</v>
      </c>
      <c r="E51" s="1"/>
      <c r="F51" s="2">
        <f>+'Sprint1 '!D73</f>
        <v>0</v>
      </c>
      <c r="G51" s="3" t="s">
        <v>48</v>
      </c>
      <c r="H51" s="3"/>
      <c r="I51" s="298">
        <v>3</v>
      </c>
    </row>
    <row r="52" spans="1:9">
      <c r="A52" s="283" t="s">
        <v>183</v>
      </c>
      <c r="B52" s="174"/>
      <c r="C52" s="293">
        <v>29.274725274725274</v>
      </c>
      <c r="D52" s="3" t="s">
        <v>17</v>
      </c>
      <c r="E52" s="1"/>
      <c r="F52" s="2">
        <f>+'Sprint1 '!D74</f>
        <v>0</v>
      </c>
      <c r="G52" s="3" t="s">
        <v>48</v>
      </c>
      <c r="H52" s="3"/>
      <c r="I52" s="298">
        <v>3</v>
      </c>
    </row>
    <row r="53" spans="1:9">
      <c r="A53" s="283" t="s">
        <v>184</v>
      </c>
      <c r="B53" s="174"/>
      <c r="C53" s="293" t="s">
        <v>199</v>
      </c>
      <c r="D53" s="3" t="s">
        <v>17</v>
      </c>
      <c r="E53" s="1"/>
      <c r="F53" s="2">
        <f>+'Sprint1 '!D75</f>
        <v>0</v>
      </c>
      <c r="G53" s="3" t="s">
        <v>48</v>
      </c>
      <c r="H53" s="3"/>
      <c r="I53" s="298">
        <v>3</v>
      </c>
    </row>
    <row r="54" spans="1:9">
      <c r="A54" s="288" t="s">
        <v>174</v>
      </c>
      <c r="B54" s="174"/>
      <c r="C54" s="293">
        <v>8.7824175824175814</v>
      </c>
      <c r="D54" s="3" t="s">
        <v>17</v>
      </c>
      <c r="E54" s="1"/>
      <c r="F54" s="2">
        <f>+'Sprint1 '!D76</f>
        <v>0</v>
      </c>
      <c r="G54" s="3" t="s">
        <v>48</v>
      </c>
      <c r="H54" s="3"/>
      <c r="I54" s="298">
        <v>3</v>
      </c>
    </row>
    <row r="55" spans="1:9">
      <c r="A55" s="288" t="s">
        <v>175</v>
      </c>
      <c r="B55" s="174"/>
      <c r="C55" s="293" t="s">
        <v>199</v>
      </c>
      <c r="D55" s="3" t="s">
        <v>17</v>
      </c>
      <c r="E55" s="1"/>
      <c r="F55" s="2">
        <f>+'Sprint1 '!D77</f>
        <v>0</v>
      </c>
      <c r="G55" s="3" t="s">
        <v>48</v>
      </c>
      <c r="H55" s="3"/>
      <c r="I55" s="298">
        <v>3</v>
      </c>
    </row>
    <row r="56" spans="1:9">
      <c r="A56" s="283" t="s">
        <v>185</v>
      </c>
      <c r="B56" s="174"/>
      <c r="C56" s="293">
        <v>11.709890109890109</v>
      </c>
      <c r="D56" s="3" t="s">
        <v>17</v>
      </c>
      <c r="E56" s="1"/>
      <c r="F56" s="2">
        <f>+'Sprint1 '!D78</f>
        <v>0</v>
      </c>
      <c r="G56" s="3" t="s">
        <v>48</v>
      </c>
      <c r="H56" s="3"/>
      <c r="I56" s="298">
        <v>3</v>
      </c>
    </row>
    <row r="57" spans="1:9">
      <c r="A57" s="286" t="s">
        <v>168</v>
      </c>
      <c r="B57" s="174"/>
      <c r="C57" s="293" t="s">
        <v>199</v>
      </c>
      <c r="D57" s="3" t="s">
        <v>17</v>
      </c>
      <c r="E57" s="1"/>
      <c r="F57" s="2">
        <f>+'Sprint1 '!D79</f>
        <v>0</v>
      </c>
      <c r="G57" s="3" t="s">
        <v>48</v>
      </c>
      <c r="H57" s="3"/>
      <c r="I57" s="298">
        <v>3</v>
      </c>
    </row>
    <row r="58" spans="1:9">
      <c r="A58" s="283" t="s">
        <v>186</v>
      </c>
      <c r="B58" s="174"/>
      <c r="C58" s="293" t="s">
        <v>199</v>
      </c>
      <c r="D58" s="3" t="s">
        <v>17</v>
      </c>
      <c r="E58" s="1"/>
      <c r="F58" s="2">
        <f>+'Sprint1 '!D80</f>
        <v>0</v>
      </c>
      <c r="G58" s="3" t="s">
        <v>48</v>
      </c>
      <c r="H58" s="3"/>
      <c r="I58" s="298">
        <v>3</v>
      </c>
    </row>
    <row r="59" spans="1:9">
      <c r="A59" s="288" t="s">
        <v>174</v>
      </c>
      <c r="B59" s="174"/>
      <c r="C59" s="293">
        <v>8.7824175824175814</v>
      </c>
      <c r="D59" s="3" t="s">
        <v>17</v>
      </c>
      <c r="E59" s="1"/>
      <c r="F59" s="2">
        <f>+'Sprint1 '!D81</f>
        <v>0</v>
      </c>
      <c r="G59" s="3" t="s">
        <v>48</v>
      </c>
      <c r="H59" s="3"/>
      <c r="I59" s="298">
        <v>3</v>
      </c>
    </row>
    <row r="60" spans="1:9">
      <c r="A60" s="288" t="s">
        <v>175</v>
      </c>
      <c r="B60" s="174"/>
      <c r="C60" s="293" t="s">
        <v>199</v>
      </c>
      <c r="D60" s="3" t="s">
        <v>17</v>
      </c>
      <c r="E60" s="1"/>
      <c r="F60" s="2">
        <f>+'Sprint1 '!D82</f>
        <v>0</v>
      </c>
      <c r="G60" s="3" t="s">
        <v>48</v>
      </c>
      <c r="H60" s="3"/>
      <c r="I60" s="298">
        <v>3</v>
      </c>
    </row>
    <row r="61" spans="1:9">
      <c r="A61" s="283" t="s">
        <v>187</v>
      </c>
      <c r="B61" s="174"/>
      <c r="C61" s="293">
        <v>11.709890109890109</v>
      </c>
      <c r="D61" s="3" t="s">
        <v>17</v>
      </c>
      <c r="E61" s="1"/>
      <c r="F61" s="2">
        <f>+'Sprint1 '!D83</f>
        <v>0</v>
      </c>
      <c r="G61" s="3" t="s">
        <v>48</v>
      </c>
      <c r="H61" s="3"/>
      <c r="I61" s="298">
        <v>3</v>
      </c>
    </row>
    <row r="62" spans="1:9">
      <c r="A62" s="286" t="s">
        <v>168</v>
      </c>
      <c r="B62" s="174"/>
      <c r="C62" s="293" t="s">
        <v>199</v>
      </c>
      <c r="D62" s="3" t="s">
        <v>17</v>
      </c>
      <c r="E62" s="1"/>
      <c r="F62" s="2">
        <f>+'Sprint1 '!D84</f>
        <v>0</v>
      </c>
      <c r="G62" s="3" t="s">
        <v>48</v>
      </c>
      <c r="H62" s="3"/>
      <c r="I62" s="298">
        <v>3</v>
      </c>
    </row>
    <row r="63" spans="1:9">
      <c r="A63" s="283" t="s">
        <v>188</v>
      </c>
      <c r="B63" s="174"/>
      <c r="C63" s="293" t="s">
        <v>199</v>
      </c>
      <c r="D63" s="3" t="s">
        <v>17</v>
      </c>
      <c r="E63" s="1"/>
      <c r="F63" s="2">
        <f>+'Sprint1 '!D85</f>
        <v>0</v>
      </c>
      <c r="G63" s="3" t="s">
        <v>48</v>
      </c>
      <c r="H63" s="3"/>
      <c r="I63" s="298">
        <v>3</v>
      </c>
    </row>
    <row r="64" spans="1:9">
      <c r="A64" s="287" t="s">
        <v>169</v>
      </c>
      <c r="B64" s="174"/>
      <c r="C64" s="293">
        <v>8.7824175824175814</v>
      </c>
      <c r="D64" s="3" t="s">
        <v>17</v>
      </c>
      <c r="E64" s="1"/>
      <c r="F64" s="2">
        <f>+'Sprint1 '!D86</f>
        <v>0</v>
      </c>
      <c r="G64" s="3" t="s">
        <v>48</v>
      </c>
      <c r="H64" s="3"/>
      <c r="I64" s="298">
        <v>3</v>
      </c>
    </row>
    <row r="65" spans="1:9">
      <c r="A65" s="288" t="s">
        <v>174</v>
      </c>
      <c r="B65" s="174"/>
      <c r="C65" s="293">
        <v>8.7824175824175814</v>
      </c>
      <c r="D65" s="3" t="s">
        <v>17</v>
      </c>
      <c r="E65" s="1"/>
      <c r="F65" s="2">
        <f>+'Sprint1 '!D87</f>
        <v>0</v>
      </c>
      <c r="G65" s="3" t="s">
        <v>48</v>
      </c>
      <c r="H65" s="3"/>
      <c r="I65" s="298">
        <v>3</v>
      </c>
    </row>
    <row r="66" spans="1:9" ht="13.5" thickBot="1">
      <c r="A66" s="288" t="s">
        <v>175</v>
      </c>
      <c r="B66" s="174"/>
      <c r="C66" s="293" t="s">
        <v>199</v>
      </c>
      <c r="D66" s="3" t="s">
        <v>17</v>
      </c>
      <c r="E66" s="1"/>
      <c r="F66" s="2">
        <f>+'Sprint1 '!D88</f>
        <v>0</v>
      </c>
      <c r="G66" s="3" t="s">
        <v>48</v>
      </c>
      <c r="H66" s="3"/>
      <c r="I66" s="298">
        <v>3</v>
      </c>
    </row>
    <row r="67" spans="1:9" ht="15.75">
      <c r="A67" s="281" t="s">
        <v>189</v>
      </c>
      <c r="B67" s="174"/>
      <c r="C67" s="293" t="s">
        <v>199</v>
      </c>
      <c r="D67" s="3" t="s">
        <v>17</v>
      </c>
      <c r="E67" s="1"/>
      <c r="F67" s="2">
        <f>+'Sprint1 '!D89</f>
        <v>0</v>
      </c>
      <c r="G67" s="3" t="s">
        <v>48</v>
      </c>
      <c r="H67" s="3"/>
      <c r="I67" s="297"/>
    </row>
    <row r="68" spans="1:9">
      <c r="A68" s="284" t="s">
        <v>190</v>
      </c>
      <c r="B68" s="174"/>
      <c r="C68" s="293">
        <v>52.694505494505492</v>
      </c>
      <c r="D68" s="3" t="s">
        <v>17</v>
      </c>
      <c r="E68" s="1"/>
      <c r="F68" s="2">
        <f>+'Sprint1 '!D90</f>
        <v>0</v>
      </c>
      <c r="G68" s="3" t="s">
        <v>48</v>
      </c>
      <c r="H68" s="3"/>
      <c r="I68" s="298">
        <v>1</v>
      </c>
    </row>
    <row r="69" spans="1:9">
      <c r="A69" s="289" t="s">
        <v>191</v>
      </c>
      <c r="B69" s="174"/>
      <c r="C69" s="293">
        <v>11.709890109890109</v>
      </c>
      <c r="D69" s="3" t="s">
        <v>17</v>
      </c>
      <c r="E69" s="1"/>
      <c r="F69" s="2">
        <f>+'Sprint1 '!D91</f>
        <v>0</v>
      </c>
      <c r="G69" s="3" t="s">
        <v>48</v>
      </c>
      <c r="H69" s="3"/>
      <c r="I69" s="299">
        <v>1</v>
      </c>
    </row>
    <row r="70" spans="1:9">
      <c r="A70" s="289" t="s">
        <v>192</v>
      </c>
      <c r="B70" s="174"/>
      <c r="C70" s="293">
        <v>11.709890109890109</v>
      </c>
      <c r="D70" s="3" t="s">
        <v>17</v>
      </c>
      <c r="E70" s="1"/>
      <c r="F70" s="2">
        <f>+'Sprint1 '!D92</f>
        <v>0</v>
      </c>
      <c r="G70" s="3" t="s">
        <v>48</v>
      </c>
      <c r="H70" s="3"/>
      <c r="I70" s="299">
        <v>1</v>
      </c>
    </row>
    <row r="71" spans="1:9" ht="13.5" thickBot="1">
      <c r="A71" s="290" t="s">
        <v>193</v>
      </c>
      <c r="B71" s="174"/>
      <c r="C71" s="293">
        <v>11.709890109890109</v>
      </c>
      <c r="D71" s="3" t="s">
        <v>17</v>
      </c>
      <c r="E71" s="1"/>
      <c r="F71" s="2">
        <f>+'Sprint1 '!D93</f>
        <v>0</v>
      </c>
      <c r="G71" s="3" t="s">
        <v>48</v>
      </c>
      <c r="H71" s="3"/>
      <c r="I71" s="300">
        <v>1</v>
      </c>
    </row>
    <row r="72" spans="1:9" ht="15.75">
      <c r="A72" s="281" t="s">
        <v>194</v>
      </c>
      <c r="B72" s="174"/>
      <c r="C72" s="293" t="s">
        <v>199</v>
      </c>
      <c r="D72" s="3" t="s">
        <v>17</v>
      </c>
      <c r="E72" s="1"/>
      <c r="F72" s="2">
        <f>+'Sprint1 '!D94</f>
        <v>0</v>
      </c>
      <c r="G72" s="3" t="s">
        <v>48</v>
      </c>
      <c r="H72" s="3"/>
      <c r="I72" s="297"/>
    </row>
    <row r="73" spans="1:9">
      <c r="A73" s="283" t="s">
        <v>195</v>
      </c>
      <c r="B73" s="174"/>
      <c r="C73" s="293">
        <v>29.274725274725274</v>
      </c>
      <c r="D73" s="3" t="s">
        <v>17</v>
      </c>
      <c r="E73" s="1"/>
      <c r="F73" s="2">
        <f>+'Sprint1 '!D95</f>
        <v>0</v>
      </c>
      <c r="G73" s="3" t="s">
        <v>48</v>
      </c>
      <c r="H73" s="3"/>
      <c r="I73" s="298">
        <v>1</v>
      </c>
    </row>
    <row r="74" spans="1:9">
      <c r="A74" s="291" t="s">
        <v>196</v>
      </c>
      <c r="B74" s="174"/>
      <c r="C74" s="293">
        <v>8.7824175824175814</v>
      </c>
      <c r="D74" s="3" t="s">
        <v>17</v>
      </c>
      <c r="E74" s="1"/>
      <c r="F74" s="2">
        <f>+'Sprint1 '!D96</f>
        <v>0</v>
      </c>
      <c r="G74" s="3" t="s">
        <v>48</v>
      </c>
      <c r="H74" s="3"/>
      <c r="I74" s="301">
        <v>1</v>
      </c>
    </row>
    <row r="75" spans="1:9">
      <c r="A75" s="291" t="s">
        <v>156</v>
      </c>
      <c r="B75" s="174"/>
      <c r="C75" s="293">
        <v>4.3912087912087907</v>
      </c>
      <c r="D75" s="3" t="s">
        <v>17</v>
      </c>
      <c r="E75" s="1"/>
      <c r="F75" s="2">
        <f>+'Sprint1 '!D97</f>
        <v>0</v>
      </c>
      <c r="G75" s="3" t="s">
        <v>48</v>
      </c>
      <c r="H75" s="3"/>
      <c r="I75" s="301">
        <v>1</v>
      </c>
    </row>
    <row r="76" spans="1:9">
      <c r="A76" s="291" t="s">
        <v>197</v>
      </c>
      <c r="B76" s="174"/>
      <c r="C76" s="293">
        <v>52.694505494505492</v>
      </c>
      <c r="D76" s="3" t="s">
        <v>17</v>
      </c>
      <c r="E76" s="1"/>
      <c r="F76" s="2">
        <f>+'Sprint1 '!D98</f>
        <v>0</v>
      </c>
      <c r="G76" s="3" t="s">
        <v>48</v>
      </c>
      <c r="H76" s="3"/>
      <c r="I76" s="301">
        <v>1</v>
      </c>
    </row>
    <row r="77" spans="1:9">
      <c r="A77" s="291" t="s">
        <v>198</v>
      </c>
      <c r="B77" s="174"/>
      <c r="C77" s="293">
        <v>11.709890109890109</v>
      </c>
      <c r="D77" s="3" t="s">
        <v>17</v>
      </c>
      <c r="E77" s="1"/>
      <c r="F77" s="2">
        <f>+'Sprint1 '!D99</f>
        <v>0</v>
      </c>
      <c r="G77" s="3" t="s">
        <v>48</v>
      </c>
      <c r="H77" s="3"/>
      <c r="I77" s="301">
        <v>1</v>
      </c>
    </row>
    <row r="78" spans="1:9">
      <c r="A78" s="174"/>
      <c r="B78" s="174"/>
      <c r="C78" s="293" t="s">
        <v>199</v>
      </c>
      <c r="D78" s="176"/>
      <c r="E78" s="174"/>
      <c r="F78" s="174"/>
      <c r="G78" s="176"/>
      <c r="H78" s="176"/>
      <c r="I78" s="174"/>
    </row>
    <row r="79" spans="1:9" ht="13.5" thickBot="1">
      <c r="A79" s="174"/>
      <c r="B79" s="174"/>
      <c r="C79" s="294"/>
      <c r="D79" s="176"/>
      <c r="E79" s="174"/>
      <c r="F79" s="174"/>
      <c r="G79" s="176"/>
      <c r="H79" s="176"/>
      <c r="I79" s="174"/>
    </row>
    <row r="80" spans="1:9">
      <c r="A80" s="174"/>
      <c r="B80" s="174"/>
      <c r="C80" s="174"/>
      <c r="D80" s="176"/>
      <c r="E80" s="174"/>
      <c r="F80" s="174"/>
      <c r="G80" s="176"/>
      <c r="H80" s="176"/>
      <c r="I80" s="174"/>
    </row>
    <row r="81" spans="1:9">
      <c r="A81" s="174"/>
      <c r="B81" s="174"/>
      <c r="C81" s="174"/>
      <c r="D81" s="176"/>
      <c r="E81" s="174"/>
      <c r="F81" s="174"/>
      <c r="G81" s="176"/>
      <c r="H81" s="176"/>
      <c r="I81" s="174"/>
    </row>
    <row r="82" spans="1:9">
      <c r="A82" s="174"/>
      <c r="B82" s="174"/>
      <c r="C82" s="174"/>
      <c r="D82" s="176"/>
      <c r="E82" s="174"/>
      <c r="F82" s="174"/>
      <c r="G82" s="176"/>
      <c r="H82" s="176"/>
      <c r="I82" s="174"/>
    </row>
    <row r="83" spans="1:9">
      <c r="A83" s="174"/>
      <c r="B83" s="174"/>
      <c r="C83" s="174"/>
      <c r="D83" s="176"/>
      <c r="E83" s="174"/>
      <c r="F83" s="174"/>
      <c r="G83" s="176"/>
      <c r="H83" s="176"/>
      <c r="I83" s="174"/>
    </row>
    <row r="84" spans="1:9">
      <c r="A84" s="174"/>
      <c r="B84" s="174"/>
      <c r="C84" s="174"/>
      <c r="D84" s="176"/>
      <c r="E84" s="174"/>
      <c r="F84" s="174"/>
      <c r="G84" s="176"/>
      <c r="H84" s="176"/>
      <c r="I84" s="174"/>
    </row>
    <row r="85" spans="1:9">
      <c r="A85" s="174"/>
      <c r="B85" s="174"/>
      <c r="C85" s="174"/>
      <c r="D85" s="176"/>
      <c r="E85" s="174"/>
      <c r="F85" s="174"/>
      <c r="G85" s="176"/>
      <c r="H85" s="176"/>
      <c r="I85" s="174"/>
    </row>
    <row r="86" spans="1:9">
      <c r="A86" s="174"/>
      <c r="B86" s="174"/>
      <c r="C86" s="174"/>
      <c r="D86" s="176"/>
      <c r="E86" s="174"/>
      <c r="F86" s="174"/>
      <c r="G86" s="176"/>
      <c r="H86" s="176"/>
      <c r="I86" s="174"/>
    </row>
    <row r="87" spans="1:9">
      <c r="A87" s="174"/>
      <c r="B87" s="174"/>
      <c r="C87" s="174"/>
      <c r="D87" s="176"/>
      <c r="E87" s="174"/>
      <c r="F87" s="174"/>
      <c r="G87" s="176"/>
      <c r="H87" s="176"/>
      <c r="I87" s="174"/>
    </row>
    <row r="88" spans="1:9">
      <c r="A88" s="174"/>
      <c r="B88" s="174"/>
      <c r="C88" s="174"/>
      <c r="D88" s="176"/>
      <c r="E88" s="174"/>
      <c r="F88" s="174"/>
      <c r="G88" s="176"/>
      <c r="H88" s="176"/>
      <c r="I88" s="174"/>
    </row>
    <row r="89" spans="1:9">
      <c r="A89" s="174"/>
      <c r="B89" s="174"/>
      <c r="C89" s="174"/>
      <c r="D89" s="176"/>
      <c r="E89" s="174"/>
      <c r="F89" s="174"/>
      <c r="G89" s="176"/>
      <c r="H89" s="176"/>
      <c r="I89" s="174"/>
    </row>
    <row r="90" spans="1:9">
      <c r="A90" s="174"/>
      <c r="B90" s="174"/>
      <c r="C90" s="174"/>
      <c r="D90" s="176"/>
      <c r="E90" s="174"/>
      <c r="F90" s="174"/>
      <c r="G90" s="176"/>
      <c r="H90" s="176"/>
      <c r="I90" s="174"/>
    </row>
    <row r="91" spans="1:9">
      <c r="A91" s="174"/>
      <c r="B91" s="174"/>
      <c r="C91" s="174"/>
      <c r="D91" s="176"/>
      <c r="E91" s="174"/>
      <c r="F91" s="174"/>
      <c r="G91" s="176"/>
      <c r="H91" s="176"/>
      <c r="I91" s="174"/>
    </row>
    <row r="92" spans="1:9">
      <c r="A92" s="174"/>
      <c r="B92" s="174"/>
      <c r="C92" s="174"/>
      <c r="D92" s="176"/>
      <c r="E92" s="174"/>
      <c r="F92" s="174"/>
      <c r="G92" s="176"/>
      <c r="H92" s="176"/>
      <c r="I92" s="174"/>
    </row>
    <row r="93" spans="1:9">
      <c r="A93" s="174"/>
      <c r="B93" s="174"/>
      <c r="C93" s="174"/>
      <c r="D93" s="176"/>
      <c r="E93" s="174"/>
      <c r="F93" s="174"/>
      <c r="G93" s="176"/>
      <c r="H93" s="176"/>
      <c r="I93" s="174"/>
    </row>
  </sheetData>
  <customSheetViews>
    <customSheetView guid="{E581961F-3841-49B1-99AD-716C95AC511A}" fitToPage="1" hiddenColumns="1" showRuler="0">
      <selection activeCell="D6" sqref="D6"/>
      <pageMargins left="0.75" right="0.75" top="1" bottom="1" header="0" footer="0"/>
      <pageSetup scale="56" orientation="landscape" horizontalDpi="0" verticalDpi="0" r:id="rId1"/>
      <headerFooter alignWithMargins="0"/>
    </customSheetView>
  </customSheetViews>
  <mergeCells count="10">
    <mergeCell ref="R16:S16"/>
    <mergeCell ref="A2:B5"/>
    <mergeCell ref="C2:D2"/>
    <mergeCell ref="E2:F2"/>
    <mergeCell ref="C3:D3"/>
    <mergeCell ref="E3:F3"/>
    <mergeCell ref="C4:D4"/>
    <mergeCell ref="E4:F5"/>
    <mergeCell ref="C5:D5"/>
    <mergeCell ref="A6:F6"/>
  </mergeCells>
  <phoneticPr fontId="4" type="noConversion"/>
  <conditionalFormatting sqref="C14:C78">
    <cfRule type="colorScale" priority="1">
      <colorScale>
        <cfvo type="num" val="0"/>
        <cfvo type="num" val="0"/>
        <color theme="6" tint="-0.499984740745262"/>
        <color theme="6" tint="0.59999389629810485"/>
      </colorScale>
    </cfRule>
  </conditionalFormatting>
  <dataValidations count="2">
    <dataValidation type="list" allowBlank="1" showInputMessage="1" showErrorMessage="1" sqref="D13:D77">
      <formula1>$R$17:$R$21</formula1>
    </dataValidation>
    <dataValidation type="list" allowBlank="1" showInputMessage="1" showErrorMessage="1" sqref="G13:G77">
      <formula1>$N$17:$N$21</formula1>
    </dataValidation>
  </dataValidations>
  <pageMargins left="0.75" right="0.75" top="1" bottom="1" header="0" footer="0"/>
  <pageSetup scale="34" orientation="landscape" horizontalDpi="0" r:id="rId2"/>
  <headerFooter alignWithMargins="0">
    <oddHeader xml:space="preserve">&amp;LElaboró
Responsable Área de Calidad 
Fecha
06/03/06&amp;CPlan Iteración&amp;RAprobó 
Fecha
Revisó
Fecha 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>
    <pageSetUpPr fitToPage="1"/>
  </sheetPr>
  <dimension ref="A1:U59"/>
  <sheetViews>
    <sheetView topLeftCell="A9" zoomScaleNormal="100" workbookViewId="0">
      <selection activeCell="A18" sqref="A18"/>
    </sheetView>
  </sheetViews>
  <sheetFormatPr defaultColWidth="11.42578125" defaultRowHeight="12.75"/>
  <cols>
    <col min="1" max="1" width="28.7109375" customWidth="1"/>
    <col min="2" max="2" width="15.7109375" customWidth="1"/>
    <col min="3" max="3" width="28.42578125" customWidth="1"/>
    <col min="4" max="4" width="15.7109375" customWidth="1"/>
    <col min="5" max="5" width="0" style="4" hidden="1" customWidth="1"/>
    <col min="6" max="6" width="15.5703125" customWidth="1"/>
    <col min="7" max="7" width="9" hidden="1" customWidth="1"/>
    <col min="8" max="8" width="10.7109375" style="4" hidden="1" customWidth="1"/>
    <col min="9" max="9" width="9.42578125" style="4" hidden="1" customWidth="1"/>
    <col min="10" max="10" width="11.42578125" hidden="1" customWidth="1"/>
    <col min="11" max="11" width="15.7109375" customWidth="1"/>
    <col min="13" max="13" width="117.28515625" customWidth="1"/>
  </cols>
  <sheetData>
    <row r="1" spans="1:21" ht="13.5" thickBot="1">
      <c r="A1" s="174"/>
      <c r="B1" s="174"/>
      <c r="C1" s="174"/>
      <c r="D1" s="174"/>
      <c r="E1" s="176"/>
      <c r="F1" s="174"/>
      <c r="G1" s="174"/>
      <c r="H1" s="176"/>
      <c r="I1" s="176"/>
      <c r="J1" s="174"/>
      <c r="K1" s="174"/>
      <c r="L1" s="174"/>
      <c r="M1" s="174"/>
    </row>
    <row r="2" spans="1:21" ht="15">
      <c r="A2" s="531"/>
      <c r="B2" s="532"/>
      <c r="C2" s="537"/>
      <c r="D2" s="538"/>
      <c r="E2" s="554" t="s">
        <v>87</v>
      </c>
      <c r="F2" s="555"/>
      <c r="G2" s="555"/>
      <c r="H2" s="555"/>
      <c r="I2" s="555"/>
      <c r="J2" s="555"/>
      <c r="K2" s="556"/>
      <c r="L2" s="174"/>
      <c r="M2" s="174"/>
    </row>
    <row r="3" spans="1:21" ht="15" customHeight="1" thickBot="1">
      <c r="A3" s="533"/>
      <c r="B3" s="534"/>
      <c r="C3" s="539" t="s">
        <v>91</v>
      </c>
      <c r="D3" s="540"/>
      <c r="E3" s="557" t="s">
        <v>92</v>
      </c>
      <c r="F3" s="558"/>
      <c r="G3" s="558"/>
      <c r="H3" s="558"/>
      <c r="I3" s="558"/>
      <c r="J3" s="558"/>
      <c r="K3" s="559"/>
      <c r="L3" s="174"/>
      <c r="M3" s="174"/>
    </row>
    <row r="4" spans="1:21" ht="15" customHeight="1">
      <c r="A4" s="533"/>
      <c r="B4" s="534"/>
      <c r="C4" s="541"/>
      <c r="D4" s="542"/>
      <c r="E4" s="548" t="s">
        <v>88</v>
      </c>
      <c r="F4" s="549"/>
      <c r="G4" s="549"/>
      <c r="H4" s="549"/>
      <c r="I4" s="549"/>
      <c r="J4" s="549"/>
      <c r="K4" s="550"/>
      <c r="L4" s="174"/>
      <c r="M4" s="174"/>
    </row>
    <row r="5" spans="1:21" ht="15" customHeight="1" thickBot="1">
      <c r="A5" s="535"/>
      <c r="B5" s="536"/>
      <c r="C5" s="543"/>
      <c r="D5" s="544"/>
      <c r="E5" s="551"/>
      <c r="F5" s="552"/>
      <c r="G5" s="552"/>
      <c r="H5" s="552"/>
      <c r="I5" s="552"/>
      <c r="J5" s="552"/>
      <c r="K5" s="553"/>
      <c r="L5" s="174"/>
      <c r="M5" s="174"/>
    </row>
    <row r="6" spans="1:21" ht="15" customHeight="1" thickBot="1">
      <c r="A6" s="545" t="s">
        <v>89</v>
      </c>
      <c r="B6" s="546"/>
      <c r="C6" s="546"/>
      <c r="D6" s="546"/>
      <c r="E6" s="546"/>
      <c r="F6" s="546"/>
      <c r="G6" s="546"/>
      <c r="H6" s="546"/>
      <c r="I6" s="546"/>
      <c r="J6" s="546"/>
      <c r="K6" s="547"/>
      <c r="L6" s="174"/>
      <c r="M6" s="174"/>
    </row>
    <row r="7" spans="1:21" ht="15.75" customHeight="1" thickBot="1">
      <c r="A7" s="151" t="s">
        <v>96</v>
      </c>
      <c r="B7" s="152"/>
      <c r="C7" s="150" t="s">
        <v>93</v>
      </c>
      <c r="D7" s="152"/>
      <c r="E7" s="150" t="s">
        <v>90</v>
      </c>
      <c r="F7" s="150" t="s">
        <v>98</v>
      </c>
      <c r="K7" s="153"/>
      <c r="L7" s="175"/>
      <c r="M7" s="175"/>
      <c r="N7" s="116"/>
      <c r="O7" s="116"/>
      <c r="P7" s="116"/>
      <c r="Q7" s="116"/>
      <c r="R7" s="116"/>
      <c r="S7" s="116"/>
      <c r="T7" s="116"/>
    </row>
    <row r="8" spans="1:21">
      <c r="A8" s="174"/>
      <c r="B8" s="174"/>
      <c r="C8" s="174"/>
      <c r="D8" s="174"/>
      <c r="E8" s="176"/>
      <c r="F8" s="174"/>
      <c r="G8" s="174"/>
      <c r="H8" s="176"/>
      <c r="I8" s="176"/>
      <c r="J8" s="174"/>
      <c r="K8" s="174"/>
      <c r="L8" s="175"/>
      <c r="M8" s="175"/>
      <c r="N8" s="116"/>
      <c r="O8" s="116"/>
      <c r="P8" s="116"/>
      <c r="Q8" s="116"/>
      <c r="R8" s="116"/>
      <c r="S8" s="116"/>
      <c r="T8" s="116"/>
    </row>
    <row r="9" spans="1:21" ht="20.25">
      <c r="A9" s="177" t="s">
        <v>59</v>
      </c>
      <c r="B9" s="174"/>
      <c r="C9" s="174"/>
      <c r="D9" s="174"/>
      <c r="E9" s="176"/>
      <c r="F9" s="174"/>
      <c r="G9" s="174"/>
      <c r="H9" s="176"/>
      <c r="I9" s="176"/>
      <c r="J9" s="174"/>
      <c r="K9" s="174"/>
      <c r="L9" s="175"/>
      <c r="M9" s="175"/>
      <c r="N9" s="116"/>
      <c r="O9" s="116"/>
      <c r="P9" s="116"/>
      <c r="Q9" s="116"/>
      <c r="R9" s="116"/>
      <c r="S9" s="116"/>
      <c r="T9" s="116"/>
    </row>
    <row r="10" spans="1:21" ht="20.25">
      <c r="A10" s="177" t="s">
        <v>74</v>
      </c>
      <c r="B10" s="177"/>
      <c r="C10" s="174"/>
      <c r="D10" s="174"/>
      <c r="E10" s="176"/>
      <c r="F10" s="174"/>
      <c r="G10" s="174"/>
      <c r="H10" s="176"/>
      <c r="I10" s="176"/>
      <c r="J10" s="174"/>
      <c r="K10" s="174"/>
      <c r="L10" s="175"/>
      <c r="M10" s="175"/>
      <c r="N10" s="116"/>
      <c r="O10" s="116"/>
      <c r="P10" s="116"/>
      <c r="Q10" s="116"/>
      <c r="R10" s="116"/>
      <c r="S10" s="116"/>
      <c r="T10" s="116"/>
    </row>
    <row r="11" spans="1:21" ht="20.25">
      <c r="A11" s="178" t="s">
        <v>82</v>
      </c>
      <c r="B11" s="177"/>
      <c r="C11" s="174"/>
      <c r="D11" s="174"/>
      <c r="E11" s="176"/>
      <c r="F11" s="174"/>
      <c r="G11" s="174"/>
      <c r="H11" s="176"/>
      <c r="I11" s="176"/>
      <c r="J11" s="174"/>
      <c r="K11" s="174"/>
      <c r="L11" s="175"/>
      <c r="M11" s="175"/>
      <c r="N11" s="116"/>
      <c r="O11" s="116"/>
      <c r="P11" s="116"/>
      <c r="Q11" s="116"/>
      <c r="R11" s="116"/>
      <c r="S11" s="116"/>
      <c r="T11" s="116"/>
    </row>
    <row r="12" spans="1:21">
      <c r="A12" s="174"/>
      <c r="B12" s="174"/>
      <c r="C12" s="174"/>
      <c r="D12" s="174"/>
      <c r="E12" s="176"/>
      <c r="F12" s="174"/>
      <c r="G12" s="174"/>
      <c r="H12" s="176"/>
      <c r="I12" s="176"/>
      <c r="J12" s="174"/>
      <c r="K12" s="174"/>
      <c r="L12" s="175"/>
      <c r="M12" s="175"/>
      <c r="N12" s="116"/>
      <c r="O12" s="116"/>
      <c r="P12" s="116"/>
      <c r="Q12" s="116"/>
      <c r="R12" s="116"/>
      <c r="S12" s="116"/>
      <c r="T12" s="116"/>
    </row>
    <row r="13" spans="1:21" ht="25.5">
      <c r="A13" s="22" t="s">
        <v>77</v>
      </c>
      <c r="B13" s="22" t="s">
        <v>76</v>
      </c>
      <c r="C13" s="49" t="s">
        <v>75</v>
      </c>
      <c r="D13" s="49" t="s">
        <v>86</v>
      </c>
      <c r="E13" s="49" t="s">
        <v>1</v>
      </c>
      <c r="F13" s="50" t="s">
        <v>16</v>
      </c>
      <c r="G13" s="49" t="s">
        <v>2</v>
      </c>
      <c r="H13" s="49" t="s">
        <v>30</v>
      </c>
      <c r="I13" s="50" t="s">
        <v>53</v>
      </c>
      <c r="J13" s="50" t="s">
        <v>54</v>
      </c>
      <c r="K13" s="51" t="s">
        <v>56</v>
      </c>
      <c r="L13" s="174"/>
      <c r="M13" s="175"/>
      <c r="N13" s="116"/>
      <c r="O13" s="116"/>
      <c r="P13" s="116"/>
      <c r="Q13" s="116"/>
      <c r="R13" s="116"/>
      <c r="S13" s="116"/>
      <c r="T13" s="116"/>
      <c r="U13" s="116"/>
    </row>
    <row r="14" spans="1:21" ht="48.75" customHeight="1">
      <c r="A14" s="220">
        <v>39793</v>
      </c>
      <c r="B14" s="276" t="s">
        <v>148</v>
      </c>
      <c r="C14" s="221" t="s">
        <v>142</v>
      </c>
      <c r="D14" s="238" t="s">
        <v>141</v>
      </c>
      <c r="E14" s="223"/>
      <c r="F14" s="222" t="s">
        <v>19</v>
      </c>
      <c r="G14" s="224"/>
      <c r="H14" s="223"/>
      <c r="I14" s="222" t="s">
        <v>48</v>
      </c>
      <c r="J14" s="225"/>
      <c r="K14" s="302" t="s">
        <v>200</v>
      </c>
      <c r="L14" s="174"/>
      <c r="M14" s="175"/>
      <c r="N14" s="116"/>
      <c r="O14" s="116"/>
      <c r="P14" s="116"/>
      <c r="Q14" s="116"/>
      <c r="R14" s="116"/>
      <c r="S14" s="116"/>
      <c r="T14" s="116"/>
      <c r="U14" s="116"/>
    </row>
    <row r="15" spans="1:21" ht="24" customHeight="1">
      <c r="A15" s="220"/>
      <c r="B15" s="221"/>
      <c r="C15" s="221"/>
      <c r="D15" s="239"/>
      <c r="E15" s="223"/>
      <c r="F15" s="222"/>
      <c r="G15" s="224"/>
      <c r="H15" s="223"/>
      <c r="I15" s="222"/>
      <c r="J15" s="225"/>
      <c r="K15" s="226"/>
      <c r="L15" s="174"/>
      <c r="M15" s="175"/>
      <c r="N15" s="116"/>
      <c r="O15" s="116"/>
      <c r="P15" s="116"/>
      <c r="Q15" s="116"/>
      <c r="R15" s="116"/>
      <c r="S15" s="116"/>
      <c r="T15" s="116"/>
      <c r="U15" s="116"/>
    </row>
    <row r="16" spans="1:21">
      <c r="A16" s="220"/>
      <c r="B16" s="276"/>
      <c r="C16" s="221"/>
      <c r="D16" s="238"/>
      <c r="E16" s="223"/>
      <c r="F16" s="222"/>
      <c r="G16" s="224"/>
      <c r="H16" s="223"/>
      <c r="I16" s="222"/>
      <c r="J16" s="225"/>
      <c r="K16" s="226"/>
      <c r="L16" s="174"/>
      <c r="M16" s="175"/>
      <c r="N16" s="116"/>
      <c r="O16" s="116"/>
      <c r="P16" s="117" t="s">
        <v>47</v>
      </c>
      <c r="Q16" s="117"/>
      <c r="R16" s="118"/>
      <c r="S16" s="119"/>
      <c r="T16" s="505" t="s">
        <v>16</v>
      </c>
      <c r="U16" s="505"/>
    </row>
    <row r="17" spans="1:21" ht="36" customHeight="1">
      <c r="A17" s="220"/>
      <c r="B17" s="227"/>
      <c r="C17" s="221"/>
      <c r="D17" s="239"/>
      <c r="E17" s="223"/>
      <c r="F17" s="222"/>
      <c r="G17" s="224"/>
      <c r="H17" s="223"/>
      <c r="I17" s="222"/>
      <c r="J17" s="225"/>
      <c r="K17" s="226"/>
      <c r="L17" s="174"/>
      <c r="M17" s="175"/>
      <c r="N17" s="116"/>
      <c r="O17" s="116"/>
      <c r="P17" s="116" t="s">
        <v>52</v>
      </c>
      <c r="Q17" s="116">
        <v>100</v>
      </c>
      <c r="R17" s="116"/>
      <c r="S17" s="116"/>
      <c r="T17" s="116" t="s">
        <v>17</v>
      </c>
      <c r="U17" s="116">
        <v>0</v>
      </c>
    </row>
    <row r="18" spans="1:21" ht="60" customHeight="1">
      <c r="A18" s="220"/>
      <c r="B18" s="227"/>
      <c r="C18" s="221"/>
      <c r="D18" s="239"/>
      <c r="E18" s="223"/>
      <c r="F18" s="222"/>
      <c r="G18" s="224"/>
      <c r="H18" s="223"/>
      <c r="I18" s="222"/>
      <c r="J18" s="225"/>
      <c r="K18" s="228"/>
      <c r="L18" s="174"/>
      <c r="M18" s="175"/>
      <c r="N18" s="116"/>
      <c r="O18" s="116"/>
      <c r="P18" s="116" t="s">
        <v>48</v>
      </c>
      <c r="Q18" s="116">
        <v>200</v>
      </c>
      <c r="R18" s="116"/>
      <c r="S18" s="116"/>
      <c r="T18" s="116" t="s">
        <v>18</v>
      </c>
      <c r="U18" s="116">
        <v>0.1</v>
      </c>
    </row>
    <row r="19" spans="1:21" ht="70.5" customHeight="1">
      <c r="A19" s="220"/>
      <c r="B19" s="227"/>
      <c r="C19" s="221"/>
      <c r="D19" s="239"/>
      <c r="E19" s="223"/>
      <c r="F19" s="222"/>
      <c r="G19" s="224"/>
      <c r="H19" s="223"/>
      <c r="I19" s="222"/>
      <c r="J19" s="225"/>
      <c r="K19" s="228"/>
      <c r="L19" s="174"/>
      <c r="M19" s="175"/>
      <c r="N19" s="116"/>
      <c r="O19" s="116"/>
      <c r="P19" s="116" t="s">
        <v>49</v>
      </c>
      <c r="Q19" s="116">
        <v>300</v>
      </c>
      <c r="R19" s="116"/>
      <c r="S19" s="116"/>
      <c r="T19" s="116" t="s">
        <v>19</v>
      </c>
      <c r="U19" s="116">
        <v>0.2</v>
      </c>
    </row>
    <row r="20" spans="1:21" ht="51" customHeight="1">
      <c r="A20" s="220"/>
      <c r="B20" s="276"/>
      <c r="C20" s="221"/>
      <c r="D20" s="239"/>
      <c r="E20" s="223"/>
      <c r="F20" s="222"/>
      <c r="G20" s="224"/>
      <c r="H20" s="223"/>
      <c r="I20" s="222"/>
      <c r="J20" s="225"/>
      <c r="K20" s="228"/>
      <c r="L20" s="174"/>
      <c r="M20" s="175"/>
      <c r="N20" s="116"/>
      <c r="O20" s="116"/>
      <c r="P20" s="116" t="s">
        <v>50</v>
      </c>
      <c r="Q20" s="116">
        <v>400</v>
      </c>
      <c r="R20" s="116"/>
      <c r="S20" s="116"/>
      <c r="T20" s="116" t="s">
        <v>20</v>
      </c>
      <c r="U20" s="116">
        <v>0.4</v>
      </c>
    </row>
    <row r="21" spans="1:21" ht="18" customHeight="1">
      <c r="A21" s="229"/>
      <c r="B21" s="227"/>
      <c r="C21" s="221"/>
      <c r="D21" s="221"/>
      <c r="E21" s="223"/>
      <c r="F21" s="222" t="s">
        <v>17</v>
      </c>
      <c r="G21" s="224"/>
      <c r="H21" s="223"/>
      <c r="I21" s="222" t="s">
        <v>48</v>
      </c>
      <c r="J21" s="225"/>
      <c r="K21" s="228"/>
      <c r="L21" s="174"/>
      <c r="M21" s="175"/>
      <c r="N21" s="116"/>
      <c r="O21" s="116"/>
      <c r="P21" s="116" t="s">
        <v>51</v>
      </c>
      <c r="Q21" s="116">
        <v>500</v>
      </c>
      <c r="R21" s="116"/>
      <c r="S21" s="116"/>
      <c r="T21" s="116" t="s">
        <v>21</v>
      </c>
      <c r="U21" s="116">
        <v>0.6</v>
      </c>
    </row>
    <row r="22" spans="1:21" ht="18" customHeight="1">
      <c r="A22" s="229"/>
      <c r="B22" s="227"/>
      <c r="C22" s="221"/>
      <c r="D22" s="221"/>
      <c r="E22" s="223"/>
      <c r="F22" s="222" t="s">
        <v>17</v>
      </c>
      <c r="G22" s="224"/>
      <c r="H22" s="223"/>
      <c r="I22" s="222" t="s">
        <v>48</v>
      </c>
      <c r="J22" s="225"/>
      <c r="K22" s="228"/>
      <c r="L22" s="174"/>
      <c r="M22" s="175"/>
      <c r="N22" s="116"/>
      <c r="O22" s="116"/>
      <c r="P22" s="116"/>
      <c r="Q22" s="116"/>
      <c r="R22" s="116"/>
      <c r="S22" s="116"/>
      <c r="T22" s="116"/>
      <c r="U22" s="116"/>
    </row>
    <row r="23" spans="1:21" ht="18" customHeight="1" thickBot="1">
      <c r="A23" s="230"/>
      <c r="B23" s="231"/>
      <c r="C23" s="232"/>
      <c r="D23" s="232"/>
      <c r="E23" s="233"/>
      <c r="F23" s="234" t="s">
        <v>17</v>
      </c>
      <c r="G23" s="235"/>
      <c r="H23" s="233"/>
      <c r="I23" s="234" t="s">
        <v>48</v>
      </c>
      <c r="J23" s="236"/>
      <c r="K23" s="237"/>
      <c r="L23" s="174"/>
      <c r="M23" s="175"/>
      <c r="N23" s="116"/>
      <c r="O23" s="116"/>
      <c r="P23" s="116"/>
      <c r="Q23" s="116"/>
      <c r="R23" s="116"/>
      <c r="S23" s="116"/>
      <c r="T23" s="116"/>
      <c r="U23" s="116"/>
    </row>
    <row r="24" spans="1:21">
      <c r="L24" s="174"/>
      <c r="M24" s="174"/>
    </row>
    <row r="25" spans="1:21">
      <c r="A25" s="174"/>
      <c r="B25" s="174"/>
      <c r="C25" s="174"/>
      <c r="D25" s="174"/>
      <c r="E25" s="176"/>
      <c r="F25" s="174"/>
      <c r="G25" s="174"/>
      <c r="H25" s="176"/>
      <c r="I25" s="176"/>
      <c r="J25" s="174"/>
      <c r="K25" s="174"/>
      <c r="L25" s="174"/>
      <c r="M25" s="174"/>
    </row>
    <row r="26" spans="1:21">
      <c r="A26" s="174"/>
      <c r="B26" s="174"/>
      <c r="C26" s="174"/>
      <c r="D26" s="174"/>
      <c r="E26" s="176"/>
      <c r="F26" s="174"/>
      <c r="G26" s="174"/>
      <c r="H26" s="176"/>
      <c r="I26" s="176"/>
      <c r="J26" s="174"/>
      <c r="K26" s="174"/>
      <c r="L26" s="174"/>
      <c r="M26" s="174"/>
    </row>
    <row r="27" spans="1:21">
      <c r="A27" s="174"/>
      <c r="B27" s="174"/>
      <c r="C27" s="174"/>
      <c r="D27" s="174"/>
      <c r="E27" s="176"/>
      <c r="F27" s="174"/>
      <c r="G27" s="174"/>
      <c r="H27" s="176"/>
      <c r="I27" s="176"/>
      <c r="J27" s="174"/>
      <c r="K27" s="174"/>
      <c r="L27" s="174"/>
      <c r="M27" s="174"/>
    </row>
    <row r="28" spans="1:21">
      <c r="A28" s="174"/>
      <c r="B28" s="174"/>
      <c r="C28" s="174"/>
      <c r="D28" s="174"/>
      <c r="E28" s="176"/>
      <c r="F28" s="174"/>
      <c r="G28" s="174"/>
      <c r="H28" s="176"/>
      <c r="I28" s="176"/>
      <c r="J28" s="174"/>
      <c r="K28" s="174"/>
      <c r="L28" s="174"/>
      <c r="M28" s="174"/>
    </row>
    <row r="29" spans="1:21">
      <c r="A29" s="174"/>
      <c r="B29" s="174"/>
      <c r="C29" s="174"/>
      <c r="D29" s="174"/>
      <c r="E29" s="176"/>
      <c r="F29" s="174"/>
      <c r="G29" s="174"/>
      <c r="H29" s="176"/>
      <c r="I29" s="176"/>
      <c r="J29" s="174"/>
      <c r="K29" s="174"/>
      <c r="L29" s="174"/>
      <c r="M29" s="174"/>
    </row>
    <row r="30" spans="1:21">
      <c r="A30" s="174"/>
      <c r="B30" s="174"/>
      <c r="C30" s="174"/>
      <c r="D30" s="174"/>
      <c r="E30" s="176"/>
      <c r="F30" s="174"/>
      <c r="G30" s="174"/>
      <c r="H30" s="176"/>
      <c r="I30" s="176"/>
      <c r="J30" s="174"/>
      <c r="K30" s="174"/>
      <c r="L30" s="174"/>
      <c r="M30" s="174"/>
    </row>
    <row r="31" spans="1:21">
      <c r="A31" s="174"/>
      <c r="B31" s="174"/>
      <c r="C31" s="174"/>
      <c r="D31" s="174"/>
      <c r="E31" s="176"/>
      <c r="F31" s="174"/>
      <c r="G31" s="174"/>
      <c r="H31" s="176"/>
      <c r="I31" s="176"/>
      <c r="J31" s="174"/>
      <c r="K31" s="174"/>
      <c r="L31" s="174"/>
      <c r="M31" s="174"/>
    </row>
    <row r="32" spans="1:21">
      <c r="A32" s="174"/>
      <c r="B32" s="174"/>
      <c r="C32" s="174"/>
      <c r="D32" s="174"/>
      <c r="E32" s="176"/>
      <c r="F32" s="174"/>
      <c r="G32" s="174"/>
      <c r="H32" s="176"/>
      <c r="I32" s="176"/>
      <c r="J32" s="174"/>
      <c r="K32" s="174"/>
      <c r="L32" s="174"/>
      <c r="M32" s="174"/>
    </row>
    <row r="33" spans="1:13">
      <c r="A33" s="174"/>
      <c r="B33" s="174"/>
      <c r="C33" s="174"/>
      <c r="D33" s="174"/>
      <c r="E33" s="176"/>
      <c r="F33" s="174"/>
      <c r="G33" s="174"/>
      <c r="H33" s="176"/>
      <c r="I33" s="176"/>
      <c r="J33" s="174"/>
      <c r="K33" s="174"/>
      <c r="L33" s="174"/>
      <c r="M33" s="174"/>
    </row>
    <row r="34" spans="1:13">
      <c r="A34" s="174"/>
      <c r="B34" s="174"/>
      <c r="C34" s="174"/>
      <c r="D34" s="174"/>
      <c r="E34" s="176"/>
      <c r="F34" s="174"/>
      <c r="G34" s="174"/>
      <c r="H34" s="176"/>
      <c r="I34" s="176"/>
      <c r="J34" s="174"/>
      <c r="K34" s="174"/>
      <c r="L34" s="174"/>
      <c r="M34" s="174"/>
    </row>
    <row r="35" spans="1:13">
      <c r="A35" s="174"/>
      <c r="B35" s="174"/>
      <c r="C35" s="174"/>
      <c r="D35" s="174"/>
      <c r="E35" s="176"/>
      <c r="F35" s="174"/>
      <c r="G35" s="174"/>
      <c r="H35" s="176"/>
      <c r="I35" s="176"/>
      <c r="J35" s="174"/>
      <c r="K35" s="174"/>
      <c r="L35" s="174"/>
      <c r="M35" s="174"/>
    </row>
    <row r="36" spans="1:13">
      <c r="A36" s="174"/>
      <c r="B36" s="174"/>
      <c r="C36" s="174"/>
      <c r="D36" s="174"/>
      <c r="E36" s="176"/>
      <c r="F36" s="174"/>
      <c r="G36" s="174"/>
      <c r="H36" s="176"/>
      <c r="I36" s="176"/>
      <c r="J36" s="174"/>
      <c r="K36" s="174"/>
      <c r="L36" s="174"/>
      <c r="M36" s="174"/>
    </row>
    <row r="37" spans="1:13">
      <c r="A37" s="174"/>
      <c r="B37" s="174"/>
      <c r="C37" s="174"/>
      <c r="D37" s="174"/>
      <c r="E37" s="176"/>
      <c r="F37" s="174"/>
      <c r="G37" s="174"/>
      <c r="H37" s="176"/>
      <c r="I37" s="176"/>
      <c r="J37" s="174"/>
      <c r="K37" s="174"/>
      <c r="L37" s="174"/>
      <c r="M37" s="174"/>
    </row>
    <row r="38" spans="1:13">
      <c r="A38" s="174"/>
      <c r="B38" s="174"/>
      <c r="C38" s="174"/>
      <c r="D38" s="174"/>
      <c r="E38" s="176"/>
      <c r="F38" s="174"/>
      <c r="G38" s="174"/>
      <c r="H38" s="176"/>
      <c r="I38" s="176"/>
      <c r="J38" s="174"/>
      <c r="K38" s="174"/>
      <c r="L38" s="174"/>
      <c r="M38" s="174"/>
    </row>
    <row r="39" spans="1:13">
      <c r="A39" s="174"/>
      <c r="B39" s="174"/>
      <c r="C39" s="174"/>
      <c r="D39" s="174"/>
      <c r="E39" s="176"/>
      <c r="F39" s="174"/>
      <c r="G39" s="174"/>
      <c r="H39" s="176"/>
      <c r="I39" s="176"/>
      <c r="J39" s="174"/>
      <c r="K39" s="174"/>
      <c r="L39" s="174"/>
      <c r="M39" s="174"/>
    </row>
    <row r="40" spans="1:13">
      <c r="A40" s="174"/>
      <c r="B40" s="174"/>
      <c r="C40" s="174"/>
      <c r="D40" s="174"/>
      <c r="E40" s="176"/>
      <c r="F40" s="174"/>
      <c r="G40" s="174"/>
      <c r="H40" s="176"/>
      <c r="I40" s="176"/>
      <c r="J40" s="174"/>
      <c r="K40" s="174"/>
      <c r="L40" s="174"/>
      <c r="M40" s="174"/>
    </row>
    <row r="41" spans="1:13">
      <c r="A41" s="174"/>
      <c r="B41" s="174"/>
      <c r="C41" s="174"/>
      <c r="D41" s="174"/>
      <c r="E41" s="176"/>
      <c r="F41" s="174"/>
      <c r="G41" s="174"/>
      <c r="H41" s="176"/>
      <c r="I41" s="176"/>
      <c r="J41" s="174"/>
      <c r="K41" s="174"/>
      <c r="L41" s="174"/>
      <c r="M41" s="174"/>
    </row>
    <row r="42" spans="1:13">
      <c r="A42" s="174"/>
      <c r="B42" s="174"/>
      <c r="C42" s="174"/>
      <c r="D42" s="174"/>
      <c r="E42" s="176"/>
      <c r="F42" s="174"/>
      <c r="G42" s="174"/>
      <c r="H42" s="176"/>
      <c r="I42" s="176"/>
      <c r="J42" s="174"/>
      <c r="K42" s="174"/>
      <c r="L42" s="174"/>
      <c r="M42" s="174"/>
    </row>
    <row r="43" spans="1:13">
      <c r="A43" s="174"/>
      <c r="B43" s="174"/>
      <c r="C43" s="174"/>
      <c r="D43" s="174"/>
      <c r="E43" s="176"/>
      <c r="F43" s="174"/>
      <c r="G43" s="174"/>
      <c r="H43" s="176"/>
      <c r="I43" s="176"/>
      <c r="J43" s="174"/>
      <c r="K43" s="174"/>
      <c r="L43" s="174"/>
      <c r="M43" s="174"/>
    </row>
    <row r="44" spans="1:13">
      <c r="A44" s="174"/>
      <c r="B44" s="174"/>
      <c r="C44" s="174"/>
      <c r="D44" s="174"/>
      <c r="E44" s="176"/>
      <c r="F44" s="174"/>
      <c r="G44" s="174"/>
      <c r="H44" s="176"/>
      <c r="I44" s="176"/>
      <c r="J44" s="174"/>
      <c r="K44" s="174"/>
      <c r="L44" s="174"/>
      <c r="M44" s="174"/>
    </row>
    <row r="45" spans="1:13">
      <c r="A45" s="174"/>
      <c r="B45" s="174"/>
      <c r="C45" s="174"/>
      <c r="D45" s="174"/>
      <c r="E45" s="176"/>
      <c r="F45" s="174"/>
      <c r="G45" s="174"/>
      <c r="H45" s="176"/>
      <c r="I45" s="176"/>
      <c r="J45" s="174"/>
      <c r="K45" s="174"/>
      <c r="L45" s="174"/>
      <c r="M45" s="174"/>
    </row>
    <row r="46" spans="1:13">
      <c r="A46" s="174"/>
      <c r="B46" s="174"/>
      <c r="C46" s="174"/>
      <c r="D46" s="174"/>
      <c r="E46" s="176"/>
      <c r="F46" s="174"/>
      <c r="G46" s="174"/>
      <c r="H46" s="176"/>
      <c r="I46" s="176"/>
      <c r="J46" s="174"/>
      <c r="K46" s="174"/>
      <c r="L46" s="174"/>
      <c r="M46" s="174"/>
    </row>
    <row r="47" spans="1:13">
      <c r="A47" s="174"/>
      <c r="B47" s="174"/>
      <c r="C47" s="174"/>
      <c r="D47" s="174"/>
      <c r="E47" s="176"/>
      <c r="F47" s="174"/>
      <c r="G47" s="174"/>
      <c r="H47" s="176"/>
      <c r="I47" s="176"/>
      <c r="J47" s="174"/>
      <c r="K47" s="174"/>
      <c r="L47" s="174"/>
      <c r="M47" s="174"/>
    </row>
    <row r="48" spans="1:13">
      <c r="A48" s="174"/>
      <c r="B48" s="174"/>
      <c r="C48" s="174"/>
      <c r="D48" s="174"/>
      <c r="E48" s="176"/>
      <c r="F48" s="174"/>
      <c r="G48" s="174"/>
      <c r="H48" s="176"/>
      <c r="I48" s="176"/>
      <c r="J48" s="174"/>
      <c r="K48" s="174"/>
      <c r="L48" s="174"/>
      <c r="M48" s="174"/>
    </row>
    <row r="49" spans="1:13">
      <c r="A49" s="174"/>
      <c r="B49" s="174"/>
      <c r="C49" s="174"/>
      <c r="D49" s="174"/>
      <c r="E49" s="176"/>
      <c r="F49" s="174"/>
      <c r="G49" s="174"/>
      <c r="H49" s="176"/>
      <c r="I49" s="176"/>
      <c r="J49" s="174"/>
      <c r="K49" s="174"/>
      <c r="L49" s="174"/>
      <c r="M49" s="174"/>
    </row>
    <row r="50" spans="1:13">
      <c r="A50" s="174"/>
      <c r="B50" s="174"/>
      <c r="C50" s="174"/>
      <c r="D50" s="174"/>
      <c r="E50" s="176"/>
      <c r="F50" s="174"/>
      <c r="G50" s="174"/>
      <c r="H50" s="176"/>
      <c r="I50" s="176"/>
      <c r="J50" s="174"/>
      <c r="K50" s="174"/>
      <c r="L50" s="174"/>
      <c r="M50" s="174"/>
    </row>
    <row r="51" spans="1:13">
      <c r="A51" s="174"/>
      <c r="B51" s="174"/>
      <c r="C51" s="174"/>
      <c r="D51" s="174"/>
      <c r="E51" s="176"/>
      <c r="F51" s="174"/>
      <c r="G51" s="174"/>
      <c r="H51" s="176"/>
      <c r="I51" s="176"/>
      <c r="J51" s="174"/>
      <c r="K51" s="174"/>
      <c r="L51" s="174"/>
      <c r="M51" s="174"/>
    </row>
    <row r="52" spans="1:13">
      <c r="A52" s="174"/>
      <c r="B52" s="174"/>
      <c r="C52" s="174"/>
      <c r="D52" s="174"/>
      <c r="E52" s="176"/>
      <c r="F52" s="174"/>
      <c r="G52" s="174"/>
      <c r="H52" s="176"/>
      <c r="I52" s="176"/>
      <c r="J52" s="174"/>
      <c r="K52" s="174"/>
      <c r="L52" s="174"/>
      <c r="M52" s="174"/>
    </row>
    <row r="53" spans="1:13">
      <c r="A53" s="174"/>
      <c r="B53" s="174"/>
      <c r="C53" s="174"/>
      <c r="D53" s="174"/>
      <c r="E53" s="176"/>
      <c r="F53" s="174"/>
      <c r="G53" s="174"/>
      <c r="H53" s="176"/>
      <c r="I53" s="176"/>
      <c r="J53" s="174"/>
      <c r="K53" s="174"/>
      <c r="L53" s="174"/>
      <c r="M53" s="174"/>
    </row>
    <row r="54" spans="1:13">
      <c r="A54" s="174"/>
      <c r="B54" s="174"/>
      <c r="C54" s="174"/>
      <c r="D54" s="174"/>
      <c r="E54" s="176"/>
      <c r="F54" s="174"/>
      <c r="G54" s="174"/>
      <c r="H54" s="176"/>
      <c r="I54" s="176"/>
      <c r="J54" s="174"/>
      <c r="K54" s="174"/>
      <c r="L54" s="174"/>
      <c r="M54" s="174"/>
    </row>
    <row r="55" spans="1:13">
      <c r="A55" s="174"/>
      <c r="B55" s="174"/>
      <c r="C55" s="174"/>
      <c r="D55" s="174"/>
      <c r="E55" s="176"/>
      <c r="F55" s="174"/>
      <c r="G55" s="174"/>
      <c r="H55" s="176"/>
      <c r="I55" s="176"/>
      <c r="J55" s="174"/>
      <c r="K55" s="174"/>
      <c r="L55" s="174"/>
      <c r="M55" s="174"/>
    </row>
    <row r="56" spans="1:13">
      <c r="A56" s="174"/>
      <c r="B56" s="174"/>
      <c r="C56" s="174"/>
      <c r="D56" s="174"/>
      <c r="E56" s="176"/>
      <c r="F56" s="174"/>
      <c r="G56" s="174"/>
      <c r="H56" s="176"/>
      <c r="I56" s="176"/>
      <c r="J56" s="174"/>
      <c r="K56" s="174"/>
      <c r="L56" s="174"/>
      <c r="M56" s="174"/>
    </row>
    <row r="57" spans="1:13">
      <c r="A57" s="174"/>
      <c r="B57" s="174"/>
      <c r="C57" s="174"/>
      <c r="D57" s="174"/>
      <c r="E57" s="176"/>
      <c r="F57" s="174"/>
      <c r="G57" s="174"/>
      <c r="H57" s="176"/>
      <c r="I57" s="176"/>
      <c r="J57" s="174"/>
      <c r="K57" s="174"/>
      <c r="L57" s="174"/>
      <c r="M57" s="174"/>
    </row>
    <row r="58" spans="1:13">
      <c r="A58" s="174"/>
      <c r="B58" s="174"/>
      <c r="C58" s="174"/>
      <c r="D58" s="174"/>
      <c r="E58" s="176"/>
      <c r="F58" s="174"/>
      <c r="G58" s="174"/>
      <c r="H58" s="176"/>
      <c r="I58" s="176"/>
      <c r="J58" s="174"/>
      <c r="K58" s="174"/>
      <c r="L58" s="174"/>
      <c r="M58" s="174"/>
    </row>
    <row r="59" spans="1:13">
      <c r="A59" s="174"/>
      <c r="B59" s="174"/>
      <c r="C59" s="174"/>
      <c r="D59" s="174"/>
      <c r="E59" s="176"/>
      <c r="F59" s="174"/>
      <c r="G59" s="174"/>
      <c r="H59" s="176"/>
      <c r="I59" s="176"/>
      <c r="J59" s="174"/>
      <c r="K59" s="174"/>
      <c r="L59" s="174"/>
      <c r="M59" s="174"/>
    </row>
  </sheetData>
  <customSheetViews>
    <customSheetView guid="{E581961F-3841-49B1-99AD-716C95AC511A}" fitToPage="1" hiddenColumns="1" showRuler="0">
      <selection activeCell="B17" sqref="B17"/>
      <pageMargins left="0.75" right="0.75" top="1" bottom="1" header="0" footer="0"/>
      <pageSetup scale="56" orientation="landscape" horizontalDpi="0" verticalDpi="0" r:id="rId1"/>
      <headerFooter alignWithMargins="0"/>
    </customSheetView>
  </customSheetViews>
  <mergeCells count="10">
    <mergeCell ref="T16:U16"/>
    <mergeCell ref="A2:B5"/>
    <mergeCell ref="C2:D2"/>
    <mergeCell ref="C3:D3"/>
    <mergeCell ref="C4:D4"/>
    <mergeCell ref="C5:D5"/>
    <mergeCell ref="A6:K6"/>
    <mergeCell ref="E4:K5"/>
    <mergeCell ref="E2:K2"/>
    <mergeCell ref="E3:K3"/>
  </mergeCells>
  <phoneticPr fontId="4" type="noConversion"/>
  <dataValidations count="2">
    <dataValidation type="list" allowBlank="1" showInputMessage="1" showErrorMessage="1" sqref="F14:F23">
      <formula1>$T$17:$T$21</formula1>
    </dataValidation>
    <dataValidation type="list" allowBlank="1" showInputMessage="1" showErrorMessage="1" sqref="I14:I23">
      <formula1>$P$17:$P$21</formula1>
    </dataValidation>
  </dataValidations>
  <pageMargins left="0.75" right="0.75" top="1" bottom="1" header="0" footer="0"/>
  <pageSetup scale="36" orientation="landscape" horizontalDpi="0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>
    <pageSetUpPr fitToPage="1"/>
  </sheetPr>
  <dimension ref="A1:AR63"/>
  <sheetViews>
    <sheetView topLeftCell="A23" zoomScale="115" zoomScaleNormal="115" workbookViewId="0">
      <selection activeCell="B54" sqref="B54"/>
    </sheetView>
  </sheetViews>
  <sheetFormatPr defaultColWidth="11.42578125" defaultRowHeight="12.75"/>
  <cols>
    <col min="1" max="1" width="33.5703125" customWidth="1"/>
    <col min="2" max="2" width="12.28515625" bestFit="1" customWidth="1"/>
    <col min="3" max="3" width="21.85546875" style="4" customWidth="1"/>
    <col min="4" max="4" width="1.140625" customWidth="1"/>
    <col min="5" max="5" width="15.140625" customWidth="1"/>
    <col min="6" max="6" width="11.7109375" style="4" hidden="1" customWidth="1"/>
    <col min="7" max="7" width="10.7109375" style="4" hidden="1" customWidth="1"/>
    <col min="8" max="8" width="8.85546875" bestFit="1" customWidth="1"/>
    <col min="9" max="26" width="7.7109375" customWidth="1"/>
    <col min="39" max="39" width="5.5703125" customWidth="1"/>
    <col min="40" max="40" width="17.140625" customWidth="1"/>
    <col min="41" max="41" width="22.7109375" customWidth="1"/>
  </cols>
  <sheetData>
    <row r="1" spans="1:29" ht="13.5" thickBot="1"/>
    <row r="2" spans="1:29" ht="15">
      <c r="A2" s="531"/>
      <c r="B2" s="532"/>
      <c r="C2" s="537"/>
      <c r="D2" s="538"/>
      <c r="E2" s="562" t="s">
        <v>87</v>
      </c>
      <c r="F2" s="563"/>
      <c r="G2" s="154"/>
      <c r="H2" s="154"/>
      <c r="I2" s="154"/>
      <c r="J2" s="154"/>
      <c r="K2" s="154"/>
    </row>
    <row r="3" spans="1:29" ht="15.75" customHeight="1" thickBot="1">
      <c r="A3" s="533"/>
      <c r="B3" s="534"/>
      <c r="C3" s="539" t="s">
        <v>91</v>
      </c>
      <c r="D3" s="540"/>
      <c r="E3" s="564" t="s">
        <v>92</v>
      </c>
      <c r="F3" s="565"/>
      <c r="G3" s="154"/>
      <c r="H3" s="154"/>
      <c r="I3" s="154"/>
      <c r="J3" s="154"/>
      <c r="K3" s="154"/>
    </row>
    <row r="4" spans="1:29" ht="12.75" customHeight="1">
      <c r="A4" s="533"/>
      <c r="B4" s="534"/>
      <c r="C4" s="541"/>
      <c r="D4" s="542"/>
      <c r="E4" s="566" t="s">
        <v>88</v>
      </c>
      <c r="F4" s="567"/>
      <c r="G4" s="155"/>
      <c r="H4" s="155"/>
      <c r="I4" s="155"/>
      <c r="J4" s="155"/>
      <c r="K4" s="155"/>
    </row>
    <row r="5" spans="1:29" ht="13.5" thickBot="1">
      <c r="A5" s="535"/>
      <c r="B5" s="536"/>
      <c r="C5" s="543"/>
      <c r="D5" s="544"/>
      <c r="E5" s="568"/>
      <c r="F5" s="569"/>
      <c r="G5" s="155"/>
      <c r="H5" s="155"/>
      <c r="I5" s="155"/>
      <c r="J5" s="155"/>
      <c r="K5" s="155"/>
    </row>
    <row r="6" spans="1:29" ht="13.5" thickBot="1">
      <c r="A6" s="545" t="s">
        <v>89</v>
      </c>
      <c r="B6" s="546"/>
      <c r="C6" s="546"/>
      <c r="D6" s="546"/>
      <c r="E6" s="546"/>
      <c r="F6" s="547"/>
      <c r="G6" s="154"/>
      <c r="H6" s="154"/>
      <c r="I6" s="154"/>
      <c r="J6" s="154"/>
      <c r="K6" s="154"/>
    </row>
    <row r="7" spans="1:29" ht="13.5" thickBot="1">
      <c r="A7" s="151" t="s">
        <v>96</v>
      </c>
      <c r="B7" s="152"/>
      <c r="C7" s="150" t="s">
        <v>93</v>
      </c>
      <c r="D7" s="152"/>
      <c r="E7" s="150" t="s">
        <v>94</v>
      </c>
      <c r="F7" s="157"/>
      <c r="G7" s="141"/>
      <c r="H7" s="156"/>
      <c r="I7" s="156"/>
      <c r="J7" s="141"/>
      <c r="K7" s="141"/>
      <c r="U7" s="160"/>
    </row>
    <row r="8" spans="1:29" ht="20.25">
      <c r="A8" s="177" t="s">
        <v>59</v>
      </c>
      <c r="U8" s="160"/>
    </row>
    <row r="9" spans="1:29">
      <c r="C9" s="130" t="s">
        <v>83</v>
      </c>
      <c r="D9" s="131"/>
      <c r="E9" s="131"/>
      <c r="F9" s="130"/>
      <c r="G9" s="130"/>
      <c r="H9" s="132"/>
      <c r="I9" s="133">
        <f ca="1">+NOW()</f>
        <v>40072.48019224537</v>
      </c>
      <c r="T9" s="120"/>
      <c r="U9" s="161"/>
    </row>
    <row r="10" spans="1:29" ht="20.25">
      <c r="A10" s="7" t="s">
        <v>147</v>
      </c>
      <c r="T10" s="121"/>
      <c r="U10" s="161"/>
      <c r="AC10" s="164"/>
    </row>
    <row r="11" spans="1:29">
      <c r="A11" s="86" t="s">
        <v>69</v>
      </c>
      <c r="T11" s="121"/>
      <c r="U11" s="161"/>
      <c r="AC11" s="164"/>
    </row>
    <row r="12" spans="1:29">
      <c r="A12" s="86" t="s">
        <v>73</v>
      </c>
      <c r="L12" s="182"/>
      <c r="Q12" s="182"/>
      <c r="S12" s="174"/>
      <c r="T12" s="120"/>
      <c r="U12" s="161"/>
      <c r="AC12" s="164"/>
    </row>
    <row r="13" spans="1:29" ht="29.25" customHeight="1">
      <c r="A13" s="84" t="s">
        <v>0</v>
      </c>
      <c r="B13" s="84" t="s">
        <v>1</v>
      </c>
      <c r="C13" s="84" t="s">
        <v>16</v>
      </c>
      <c r="D13" s="84" t="s">
        <v>2</v>
      </c>
      <c r="E13" s="85" t="s">
        <v>30</v>
      </c>
      <c r="F13" s="84" t="s">
        <v>53</v>
      </c>
      <c r="G13" s="84" t="s">
        <v>54</v>
      </c>
      <c r="H13" s="85" t="s">
        <v>3</v>
      </c>
      <c r="I13" s="560" t="s">
        <v>4</v>
      </c>
      <c r="J13" s="560"/>
      <c r="K13" s="560"/>
      <c r="L13" s="97"/>
      <c r="M13" s="97"/>
      <c r="N13" s="97"/>
      <c r="O13" s="97"/>
      <c r="P13" s="97"/>
      <c r="Q13" s="97"/>
      <c r="R13" s="97"/>
      <c r="S13" s="97"/>
      <c r="T13" s="162"/>
      <c r="U13" s="163"/>
      <c r="V13" s="162"/>
      <c r="W13" s="162"/>
      <c r="X13" s="162"/>
      <c r="Y13" s="162"/>
      <c r="Z13" s="162"/>
      <c r="AA13" s="162"/>
      <c r="AB13" s="162"/>
      <c r="AC13" s="164"/>
    </row>
    <row r="14" spans="1:29">
      <c r="A14" s="14"/>
      <c r="B14" s="16"/>
      <c r="C14" s="35"/>
      <c r="D14" s="16"/>
      <c r="E14" s="16"/>
      <c r="F14" s="35"/>
      <c r="G14" s="35"/>
      <c r="H14" s="5" t="s">
        <v>13</v>
      </c>
      <c r="I14" s="104">
        <v>1</v>
      </c>
      <c r="J14" s="104">
        <f>+I14+1</f>
        <v>2</v>
      </c>
      <c r="K14" s="104">
        <f t="shared" ref="K14:AC14" si="0">+J14+1</f>
        <v>3</v>
      </c>
      <c r="L14" s="104">
        <f t="shared" si="0"/>
        <v>4</v>
      </c>
      <c r="M14" s="104">
        <f t="shared" si="0"/>
        <v>5</v>
      </c>
      <c r="N14" s="104">
        <f t="shared" si="0"/>
        <v>6</v>
      </c>
      <c r="O14" s="104">
        <f t="shared" si="0"/>
        <v>7</v>
      </c>
      <c r="P14" s="104">
        <f t="shared" si="0"/>
        <v>8</v>
      </c>
      <c r="Q14" s="104">
        <f t="shared" si="0"/>
        <v>9</v>
      </c>
      <c r="R14" s="104">
        <f t="shared" si="0"/>
        <v>10</v>
      </c>
      <c r="S14" s="104">
        <f t="shared" si="0"/>
        <v>11</v>
      </c>
      <c r="T14" s="104">
        <f t="shared" si="0"/>
        <v>12</v>
      </c>
      <c r="U14" s="104">
        <f t="shared" si="0"/>
        <v>13</v>
      </c>
      <c r="V14" s="23">
        <f t="shared" si="0"/>
        <v>14</v>
      </c>
      <c r="W14" s="23">
        <f t="shared" si="0"/>
        <v>15</v>
      </c>
      <c r="X14" s="23">
        <f t="shared" si="0"/>
        <v>16</v>
      </c>
      <c r="Y14" s="23">
        <f t="shared" si="0"/>
        <v>17</v>
      </c>
      <c r="Z14" s="23">
        <f t="shared" si="0"/>
        <v>18</v>
      </c>
      <c r="AA14" s="23">
        <f t="shared" si="0"/>
        <v>19</v>
      </c>
      <c r="AB14" s="23">
        <f t="shared" si="0"/>
        <v>20</v>
      </c>
      <c r="AC14" s="23">
        <f t="shared" si="0"/>
        <v>21</v>
      </c>
    </row>
    <row r="15" spans="1:29">
      <c r="A15" s="14"/>
      <c r="B15" s="16" t="s">
        <v>207</v>
      </c>
      <c r="C15" s="35"/>
      <c r="D15" s="16"/>
      <c r="E15" s="16"/>
      <c r="F15" s="35"/>
      <c r="G15" s="35"/>
      <c r="H15" s="5" t="s">
        <v>14</v>
      </c>
      <c r="I15" s="8">
        <v>39861</v>
      </c>
      <c r="J15" s="8">
        <v>39862</v>
      </c>
      <c r="K15" s="8">
        <v>39863</v>
      </c>
      <c r="L15" s="8">
        <v>39864</v>
      </c>
      <c r="M15" s="8">
        <v>39865</v>
      </c>
      <c r="N15" s="8">
        <v>39867</v>
      </c>
      <c r="O15" s="8">
        <v>39868</v>
      </c>
      <c r="P15" s="8">
        <v>39869</v>
      </c>
      <c r="Q15" s="8">
        <v>39870</v>
      </c>
      <c r="R15" s="8">
        <v>39871</v>
      </c>
      <c r="S15" s="8">
        <v>39874</v>
      </c>
      <c r="T15" s="8">
        <v>39875</v>
      </c>
      <c r="U15" s="8">
        <v>39876</v>
      </c>
      <c r="V15" s="8">
        <v>39877</v>
      </c>
      <c r="W15" s="8">
        <v>39878</v>
      </c>
      <c r="X15" s="8">
        <v>39881</v>
      </c>
      <c r="Y15" s="8">
        <v>39882</v>
      </c>
      <c r="Z15" s="8">
        <v>39883</v>
      </c>
      <c r="AA15" s="8">
        <v>39885</v>
      </c>
      <c r="AB15" s="8">
        <v>39886</v>
      </c>
      <c r="AC15" s="8">
        <v>39887</v>
      </c>
    </row>
    <row r="16" spans="1:29" hidden="1">
      <c r="A16" s="14"/>
      <c r="B16" s="16"/>
      <c r="C16" s="35"/>
      <c r="D16" s="16"/>
      <c r="E16" s="16"/>
      <c r="F16" s="35"/>
      <c r="G16" s="35"/>
      <c r="H16" s="5" t="s">
        <v>15</v>
      </c>
      <c r="I16" s="28">
        <f>WEEKDAY(I15,2)</f>
        <v>2</v>
      </c>
      <c r="J16" s="24">
        <f t="shared" ref="J16:Z16" si="1">WEEKDAY(J15,2)</f>
        <v>3</v>
      </c>
      <c r="K16" s="24">
        <f t="shared" si="1"/>
        <v>4</v>
      </c>
      <c r="L16" s="24">
        <f t="shared" si="1"/>
        <v>5</v>
      </c>
      <c r="M16" s="24">
        <f t="shared" si="1"/>
        <v>6</v>
      </c>
      <c r="N16" s="24">
        <f t="shared" si="1"/>
        <v>1</v>
      </c>
      <c r="O16" s="24">
        <f t="shared" si="1"/>
        <v>2</v>
      </c>
      <c r="P16" s="24">
        <f t="shared" si="1"/>
        <v>3</v>
      </c>
      <c r="Q16" s="24">
        <f t="shared" si="1"/>
        <v>4</v>
      </c>
      <c r="R16" s="24">
        <f t="shared" si="1"/>
        <v>5</v>
      </c>
      <c r="S16" s="24">
        <f t="shared" si="1"/>
        <v>1</v>
      </c>
      <c r="T16" s="24">
        <f t="shared" si="1"/>
        <v>2</v>
      </c>
      <c r="U16" s="24">
        <f t="shared" si="1"/>
        <v>3</v>
      </c>
      <c r="V16" s="24">
        <f t="shared" si="1"/>
        <v>4</v>
      </c>
      <c r="W16" s="24">
        <f t="shared" si="1"/>
        <v>5</v>
      </c>
      <c r="X16" s="24">
        <f t="shared" si="1"/>
        <v>1</v>
      </c>
      <c r="Y16" s="24">
        <f t="shared" si="1"/>
        <v>2</v>
      </c>
      <c r="Z16" s="24">
        <f t="shared" si="1"/>
        <v>3</v>
      </c>
    </row>
    <row r="17" spans="1:29" ht="13.5" thickBot="1">
      <c r="A17" s="15"/>
      <c r="B17" s="17"/>
      <c r="C17" s="36"/>
      <c r="D17" s="17"/>
      <c r="E17" s="87"/>
      <c r="F17" s="87"/>
      <c r="G17" s="87"/>
      <c r="H17" s="88">
        <f t="shared" ref="H17:AB17" si="2">SUM(H18:H23)+H24+H38+H47</f>
        <v>363.46192307692303</v>
      </c>
      <c r="I17" s="27">
        <f t="shared" si="2"/>
        <v>363.46192307692303</v>
      </c>
      <c r="J17" s="27">
        <f t="shared" si="2"/>
        <v>359.36038461538459</v>
      </c>
      <c r="K17" s="27">
        <f t="shared" si="2"/>
        <v>340.10576923076923</v>
      </c>
      <c r="L17" s="27">
        <f t="shared" si="2"/>
        <v>313.10576923076923</v>
      </c>
      <c r="M17" s="27">
        <f t="shared" si="2"/>
        <v>318.55500000000001</v>
      </c>
      <c r="N17" s="27">
        <f t="shared" si="2"/>
        <v>273.80115384615385</v>
      </c>
      <c r="O17" s="27">
        <f t="shared" si="2"/>
        <v>120.55076923076923</v>
      </c>
      <c r="P17" s="27">
        <f t="shared" si="2"/>
        <v>120.55076923076923</v>
      </c>
      <c r="Q17" s="27">
        <f t="shared" si="2"/>
        <v>120.55076923076923</v>
      </c>
      <c r="R17" s="27">
        <f t="shared" si="2"/>
        <v>120.55076923076923</v>
      </c>
      <c r="S17" s="27">
        <f t="shared" si="2"/>
        <v>120.55076923076923</v>
      </c>
      <c r="T17" s="27">
        <f t="shared" si="2"/>
        <v>120.55076923076923</v>
      </c>
      <c r="U17" s="27">
        <f t="shared" si="2"/>
        <v>120.55076923076923</v>
      </c>
      <c r="V17" s="27">
        <f t="shared" si="2"/>
        <v>120.55076923076923</v>
      </c>
      <c r="W17" s="27">
        <f t="shared" si="2"/>
        <v>120.55076923076923</v>
      </c>
      <c r="X17" s="27">
        <f t="shared" si="2"/>
        <v>120.55076923076923</v>
      </c>
      <c r="Y17" s="27">
        <f t="shared" si="2"/>
        <v>120.55076923076923</v>
      </c>
      <c r="Z17" s="27">
        <f t="shared" si="2"/>
        <v>120.55076923076923</v>
      </c>
      <c r="AA17" s="27">
        <f t="shared" si="2"/>
        <v>120.55076923076923</v>
      </c>
      <c r="AB17" s="27">
        <f t="shared" si="2"/>
        <v>120.55076923076923</v>
      </c>
      <c r="AC17" s="27">
        <f>SUM(AC18:AC23)+AC24+AC38+AC47</f>
        <v>120.55076923076923</v>
      </c>
    </row>
    <row r="18" spans="1:29" s="65" customFormat="1" ht="13.5" thickBot="1">
      <c r="A18" s="33" t="s">
        <v>32</v>
      </c>
      <c r="B18" s="31"/>
      <c r="C18" s="37"/>
      <c r="D18" s="32"/>
      <c r="E18" s="89">
        <f>MIN(I18:Z18)</f>
        <v>5</v>
      </c>
      <c r="F18" s="89"/>
      <c r="G18" s="89"/>
      <c r="H18" s="90">
        <f>SUM(H19:H23)</f>
        <v>5</v>
      </c>
      <c r="I18" s="34">
        <f>SUM(I19:I23)</f>
        <v>5</v>
      </c>
      <c r="J18" s="25">
        <f>SUM(J19:J23)</f>
        <v>5</v>
      </c>
      <c r="K18" s="25">
        <f>SUM(K19:K23)</f>
        <v>5</v>
      </c>
      <c r="L18" s="25">
        <f>SUM(L19:L23)</f>
        <v>5</v>
      </c>
      <c r="M18" s="25">
        <f t="shared" ref="M18:AA18" si="3">SUM(M19:M23)</f>
        <v>5</v>
      </c>
      <c r="N18" s="25">
        <f t="shared" si="3"/>
        <v>5</v>
      </c>
      <c r="O18" s="25">
        <f t="shared" si="3"/>
        <v>5</v>
      </c>
      <c r="P18" s="25">
        <f t="shared" si="3"/>
        <v>5</v>
      </c>
      <c r="Q18" s="25">
        <f t="shared" si="3"/>
        <v>5</v>
      </c>
      <c r="R18" s="25">
        <f t="shared" si="3"/>
        <v>5</v>
      </c>
      <c r="S18" s="25">
        <f t="shared" si="3"/>
        <v>5</v>
      </c>
      <c r="T18" s="25">
        <f t="shared" si="3"/>
        <v>5</v>
      </c>
      <c r="U18" s="25">
        <f t="shared" si="3"/>
        <v>5</v>
      </c>
      <c r="V18" s="25">
        <f t="shared" si="3"/>
        <v>5</v>
      </c>
      <c r="W18" s="25">
        <f t="shared" si="3"/>
        <v>5</v>
      </c>
      <c r="X18" s="25">
        <f t="shared" si="3"/>
        <v>5</v>
      </c>
      <c r="Y18" s="25">
        <f t="shared" si="3"/>
        <v>5</v>
      </c>
      <c r="Z18" s="26">
        <f t="shared" si="3"/>
        <v>5</v>
      </c>
      <c r="AA18" s="26">
        <f t="shared" si="3"/>
        <v>5</v>
      </c>
      <c r="AB18" s="26">
        <f>SUM(AB19:AB23)</f>
        <v>5</v>
      </c>
      <c r="AC18" s="26">
        <f>SUM(AC19:AC23)</f>
        <v>5</v>
      </c>
    </row>
    <row r="19" spans="1:29">
      <c r="A19" s="13" t="s">
        <v>5</v>
      </c>
      <c r="B19" s="9">
        <v>1</v>
      </c>
      <c r="C19" s="19" t="s">
        <v>17</v>
      </c>
      <c r="D19" s="9">
        <f>VLOOKUP(C19,$AQ$59:$AR$67,2,0)</f>
        <v>0</v>
      </c>
      <c r="E19" s="101">
        <v>2</v>
      </c>
      <c r="F19" s="92"/>
      <c r="G19" s="92"/>
      <c r="H19" s="93">
        <f>+D19*B19+B19</f>
        <v>1</v>
      </c>
      <c r="I19" s="39">
        <f>+H19</f>
        <v>1</v>
      </c>
      <c r="J19" s="144">
        <f t="shared" ref="J19:AA19" si="4">+I19</f>
        <v>1</v>
      </c>
      <c r="K19" s="144">
        <f t="shared" si="4"/>
        <v>1</v>
      </c>
      <c r="L19" s="144">
        <f t="shared" si="4"/>
        <v>1</v>
      </c>
      <c r="M19" s="144">
        <f t="shared" si="4"/>
        <v>1</v>
      </c>
      <c r="N19" s="144">
        <f t="shared" si="4"/>
        <v>1</v>
      </c>
      <c r="O19" s="144">
        <f t="shared" si="4"/>
        <v>1</v>
      </c>
      <c r="P19" s="144">
        <f t="shared" si="4"/>
        <v>1</v>
      </c>
      <c r="Q19" s="144">
        <f t="shared" si="4"/>
        <v>1</v>
      </c>
      <c r="R19" s="144">
        <f t="shared" si="4"/>
        <v>1</v>
      </c>
      <c r="S19" s="144">
        <f t="shared" si="4"/>
        <v>1</v>
      </c>
      <c r="T19" s="144">
        <f t="shared" si="4"/>
        <v>1</v>
      </c>
      <c r="U19" s="144">
        <f t="shared" si="4"/>
        <v>1</v>
      </c>
      <c r="V19" s="144">
        <f t="shared" si="4"/>
        <v>1</v>
      </c>
      <c r="W19" s="144">
        <f t="shared" si="4"/>
        <v>1</v>
      </c>
      <c r="X19" s="144">
        <f t="shared" si="4"/>
        <v>1</v>
      </c>
      <c r="Y19" s="144">
        <f t="shared" si="4"/>
        <v>1</v>
      </c>
      <c r="Z19" s="145">
        <f t="shared" si="4"/>
        <v>1</v>
      </c>
      <c r="AA19" s="145">
        <f t="shared" si="4"/>
        <v>1</v>
      </c>
      <c r="AB19" s="145">
        <f t="shared" ref="AB19:AC23" si="5">+AA19</f>
        <v>1</v>
      </c>
      <c r="AC19" s="145">
        <f t="shared" si="5"/>
        <v>1</v>
      </c>
    </row>
    <row r="20" spans="1:29">
      <c r="A20" s="11" t="s">
        <v>6</v>
      </c>
      <c r="B20" s="1">
        <v>1</v>
      </c>
      <c r="C20" s="3" t="s">
        <v>17</v>
      </c>
      <c r="D20" s="1">
        <f>VLOOKUP(C20,$AQ$59:$AR$67,2,0)</f>
        <v>0</v>
      </c>
      <c r="E20" s="91">
        <v>1</v>
      </c>
      <c r="F20" s="92"/>
      <c r="G20" s="92"/>
      <c r="H20" s="94">
        <f>+D20*B20+B20</f>
        <v>1</v>
      </c>
      <c r="I20" s="40">
        <f>+H20</f>
        <v>1</v>
      </c>
      <c r="J20" s="146">
        <f t="shared" ref="J20:AA20" si="6">+I20</f>
        <v>1</v>
      </c>
      <c r="K20" s="146">
        <f t="shared" si="6"/>
        <v>1</v>
      </c>
      <c r="L20" s="146">
        <f t="shared" si="6"/>
        <v>1</v>
      </c>
      <c r="M20" s="146">
        <f t="shared" si="6"/>
        <v>1</v>
      </c>
      <c r="N20" s="146">
        <f t="shared" si="6"/>
        <v>1</v>
      </c>
      <c r="O20" s="146">
        <f t="shared" si="6"/>
        <v>1</v>
      </c>
      <c r="P20" s="146">
        <f t="shared" si="6"/>
        <v>1</v>
      </c>
      <c r="Q20" s="146">
        <f t="shared" si="6"/>
        <v>1</v>
      </c>
      <c r="R20" s="146">
        <f t="shared" si="6"/>
        <v>1</v>
      </c>
      <c r="S20" s="146">
        <f t="shared" si="6"/>
        <v>1</v>
      </c>
      <c r="T20" s="146">
        <f t="shared" si="6"/>
        <v>1</v>
      </c>
      <c r="U20" s="146">
        <f t="shared" si="6"/>
        <v>1</v>
      </c>
      <c r="V20" s="146">
        <f t="shared" si="6"/>
        <v>1</v>
      </c>
      <c r="W20" s="146">
        <f t="shared" si="6"/>
        <v>1</v>
      </c>
      <c r="X20" s="146">
        <f t="shared" si="6"/>
        <v>1</v>
      </c>
      <c r="Y20" s="146">
        <f t="shared" si="6"/>
        <v>1</v>
      </c>
      <c r="Z20" s="147">
        <f t="shared" si="6"/>
        <v>1</v>
      </c>
      <c r="AA20" s="145">
        <f t="shared" si="6"/>
        <v>1</v>
      </c>
      <c r="AB20" s="145">
        <f t="shared" si="5"/>
        <v>1</v>
      </c>
      <c r="AC20" s="145">
        <f t="shared" si="5"/>
        <v>1</v>
      </c>
    </row>
    <row r="21" spans="1:29">
      <c r="A21" s="11" t="s">
        <v>7</v>
      </c>
      <c r="B21" s="1">
        <v>1</v>
      </c>
      <c r="C21" s="3" t="s">
        <v>17</v>
      </c>
      <c r="D21" s="1">
        <f>VLOOKUP(C21,$AQ$59:$AR$67,2,0)</f>
        <v>0</v>
      </c>
      <c r="E21" s="91">
        <v>1</v>
      </c>
      <c r="F21" s="92"/>
      <c r="G21" s="92"/>
      <c r="H21" s="94">
        <f t="shared" ref="H21:H30" si="7">+D21*B21+B21</f>
        <v>1</v>
      </c>
      <c r="I21" s="40">
        <f t="shared" ref="I21:AA21" si="8">+H21</f>
        <v>1</v>
      </c>
      <c r="J21" s="146">
        <f t="shared" si="8"/>
        <v>1</v>
      </c>
      <c r="K21" s="146">
        <f t="shared" si="8"/>
        <v>1</v>
      </c>
      <c r="L21" s="146">
        <f t="shared" si="8"/>
        <v>1</v>
      </c>
      <c r="M21" s="146">
        <f t="shared" si="8"/>
        <v>1</v>
      </c>
      <c r="N21" s="146">
        <f t="shared" si="8"/>
        <v>1</v>
      </c>
      <c r="O21" s="146">
        <f t="shared" si="8"/>
        <v>1</v>
      </c>
      <c r="P21" s="146">
        <f t="shared" si="8"/>
        <v>1</v>
      </c>
      <c r="Q21" s="146">
        <f t="shared" si="8"/>
        <v>1</v>
      </c>
      <c r="R21" s="146">
        <f t="shared" si="8"/>
        <v>1</v>
      </c>
      <c r="S21" s="146">
        <f t="shared" si="8"/>
        <v>1</v>
      </c>
      <c r="T21" s="146">
        <f t="shared" si="8"/>
        <v>1</v>
      </c>
      <c r="U21" s="146">
        <f t="shared" si="8"/>
        <v>1</v>
      </c>
      <c r="V21" s="146">
        <f t="shared" si="8"/>
        <v>1</v>
      </c>
      <c r="W21" s="146">
        <f t="shared" si="8"/>
        <v>1</v>
      </c>
      <c r="X21" s="146">
        <f t="shared" si="8"/>
        <v>1</v>
      </c>
      <c r="Y21" s="146">
        <f t="shared" si="8"/>
        <v>1</v>
      </c>
      <c r="Z21" s="147">
        <f t="shared" si="8"/>
        <v>1</v>
      </c>
      <c r="AA21" s="145">
        <f t="shared" si="8"/>
        <v>1</v>
      </c>
      <c r="AB21" s="145">
        <f t="shared" si="5"/>
        <v>1</v>
      </c>
      <c r="AC21" s="145">
        <f t="shared" si="5"/>
        <v>1</v>
      </c>
    </row>
    <row r="22" spans="1:29">
      <c r="A22" s="11" t="s">
        <v>8</v>
      </c>
      <c r="B22" s="1">
        <v>1</v>
      </c>
      <c r="C22" s="3" t="s">
        <v>17</v>
      </c>
      <c r="D22" s="1">
        <f>VLOOKUP(C22,$AQ$59:$AR$67,2,0)</f>
        <v>0</v>
      </c>
      <c r="E22" s="91">
        <v>1</v>
      </c>
      <c r="F22" s="92"/>
      <c r="G22" s="92"/>
      <c r="H22" s="94">
        <f t="shared" si="7"/>
        <v>1</v>
      </c>
      <c r="I22" s="40">
        <f t="shared" ref="I22:Z22" si="9">+H22</f>
        <v>1</v>
      </c>
      <c r="J22" s="146">
        <f t="shared" si="9"/>
        <v>1</v>
      </c>
      <c r="K22" s="146">
        <f t="shared" si="9"/>
        <v>1</v>
      </c>
      <c r="L22" s="146">
        <f t="shared" si="9"/>
        <v>1</v>
      </c>
      <c r="M22" s="146">
        <f t="shared" si="9"/>
        <v>1</v>
      </c>
      <c r="N22" s="146">
        <f t="shared" si="9"/>
        <v>1</v>
      </c>
      <c r="O22" s="146">
        <f t="shared" si="9"/>
        <v>1</v>
      </c>
      <c r="P22" s="146">
        <f t="shared" si="9"/>
        <v>1</v>
      </c>
      <c r="Q22" s="146">
        <f t="shared" si="9"/>
        <v>1</v>
      </c>
      <c r="R22" s="146">
        <f t="shared" si="9"/>
        <v>1</v>
      </c>
      <c r="S22" s="146">
        <f t="shared" si="9"/>
        <v>1</v>
      </c>
      <c r="T22" s="146">
        <f t="shared" si="9"/>
        <v>1</v>
      </c>
      <c r="U22" s="146">
        <f t="shared" si="9"/>
        <v>1</v>
      </c>
      <c r="V22" s="146">
        <f t="shared" si="9"/>
        <v>1</v>
      </c>
      <c r="W22" s="146">
        <f t="shared" si="9"/>
        <v>1</v>
      </c>
      <c r="X22" s="146">
        <f t="shared" si="9"/>
        <v>1</v>
      </c>
      <c r="Y22" s="146">
        <f t="shared" si="9"/>
        <v>1</v>
      </c>
      <c r="Z22" s="147">
        <f t="shared" si="9"/>
        <v>1</v>
      </c>
      <c r="AA22" s="145">
        <f>+Z22</f>
        <v>1</v>
      </c>
      <c r="AB22" s="145">
        <f t="shared" si="5"/>
        <v>1</v>
      </c>
      <c r="AC22" s="145">
        <f t="shared" si="5"/>
        <v>1</v>
      </c>
    </row>
    <row r="23" spans="1:29" ht="13.5" thickBot="1">
      <c r="A23" s="29" t="s">
        <v>9</v>
      </c>
      <c r="B23" s="30">
        <v>1</v>
      </c>
      <c r="C23" s="98" t="s">
        <v>17</v>
      </c>
      <c r="D23" s="30">
        <f>VLOOKUP(C23,$AQ$59:$AR$67,2,0)</f>
        <v>0</v>
      </c>
      <c r="E23" s="99">
        <v>1</v>
      </c>
      <c r="F23" s="95"/>
      <c r="G23" s="95"/>
      <c r="H23" s="96">
        <f t="shared" si="7"/>
        <v>1</v>
      </c>
      <c r="I23" s="100">
        <f t="shared" ref="I23:AA23" si="10">+H23</f>
        <v>1</v>
      </c>
      <c r="J23" s="148">
        <f t="shared" si="10"/>
        <v>1</v>
      </c>
      <c r="K23" s="148">
        <f t="shared" si="10"/>
        <v>1</v>
      </c>
      <c r="L23" s="148">
        <f t="shared" si="10"/>
        <v>1</v>
      </c>
      <c r="M23" s="148">
        <f t="shared" si="10"/>
        <v>1</v>
      </c>
      <c r="N23" s="148">
        <f t="shared" si="10"/>
        <v>1</v>
      </c>
      <c r="O23" s="148">
        <f t="shared" si="10"/>
        <v>1</v>
      </c>
      <c r="P23" s="148">
        <f t="shared" si="10"/>
        <v>1</v>
      </c>
      <c r="Q23" s="148">
        <f t="shared" si="10"/>
        <v>1</v>
      </c>
      <c r="R23" s="148">
        <f t="shared" si="10"/>
        <v>1</v>
      </c>
      <c r="S23" s="148">
        <f t="shared" si="10"/>
        <v>1</v>
      </c>
      <c r="T23" s="148">
        <f t="shared" si="10"/>
        <v>1</v>
      </c>
      <c r="U23" s="148">
        <f t="shared" si="10"/>
        <v>1</v>
      </c>
      <c r="V23" s="148">
        <f t="shared" si="10"/>
        <v>1</v>
      </c>
      <c r="W23" s="148">
        <f t="shared" si="10"/>
        <v>1</v>
      </c>
      <c r="X23" s="148">
        <f t="shared" si="10"/>
        <v>1</v>
      </c>
      <c r="Y23" s="148">
        <f t="shared" si="10"/>
        <v>1</v>
      </c>
      <c r="Z23" s="149">
        <f t="shared" si="10"/>
        <v>1</v>
      </c>
      <c r="AA23" s="145">
        <f t="shared" si="10"/>
        <v>1</v>
      </c>
      <c r="AB23" s="145">
        <f t="shared" si="5"/>
        <v>1</v>
      </c>
      <c r="AC23" s="145">
        <f t="shared" si="5"/>
        <v>1</v>
      </c>
    </row>
    <row r="24" spans="1:29" s="65" customFormat="1" ht="13.5" thickBot="1">
      <c r="A24" s="139" t="s">
        <v>10</v>
      </c>
      <c r="B24" s="136">
        <f>SUM(B25:B57)</f>
        <v>314.98346153846148</v>
      </c>
      <c r="C24" s="102"/>
      <c r="D24" s="31"/>
      <c r="E24" s="263">
        <f t="shared" ref="E24:E52" si="11">+Z24</f>
        <v>100.55076923076923</v>
      </c>
      <c r="F24" s="264"/>
      <c r="G24" s="264" t="e">
        <f>SUM(G25:G51)</f>
        <v>#N/A</v>
      </c>
      <c r="H24" s="265">
        <f>SUM(H25:H57)</f>
        <v>322.98346153846148</v>
      </c>
      <c r="I24" s="265">
        <f>SUM(I25:I57)</f>
        <v>322.98346153846148</v>
      </c>
      <c r="J24" s="265">
        <f>SUM(J25:J57)</f>
        <v>318.88192307692304</v>
      </c>
      <c r="K24" s="265">
        <f>SUM(K25:K57)</f>
        <v>300.10576923076923</v>
      </c>
      <c r="L24" s="265">
        <f t="shared" ref="L24:AC24" si="12">SUM(L25:L57)</f>
        <v>273.10576923076923</v>
      </c>
      <c r="M24" s="265">
        <f t="shared" si="12"/>
        <v>278.55500000000001</v>
      </c>
      <c r="N24" s="265">
        <f t="shared" si="12"/>
        <v>248.80115384615385</v>
      </c>
      <c r="O24" s="265">
        <f t="shared" si="12"/>
        <v>100.55076923076923</v>
      </c>
      <c r="P24" s="265">
        <f t="shared" si="12"/>
        <v>100.55076923076923</v>
      </c>
      <c r="Q24" s="265">
        <f t="shared" si="12"/>
        <v>100.55076923076923</v>
      </c>
      <c r="R24" s="265">
        <f t="shared" si="12"/>
        <v>100.55076923076923</v>
      </c>
      <c r="S24" s="265">
        <f t="shared" si="12"/>
        <v>100.55076923076923</v>
      </c>
      <c r="T24" s="265">
        <f t="shared" si="12"/>
        <v>100.55076923076923</v>
      </c>
      <c r="U24" s="265">
        <f t="shared" si="12"/>
        <v>100.55076923076923</v>
      </c>
      <c r="V24" s="265">
        <f t="shared" si="12"/>
        <v>100.55076923076923</v>
      </c>
      <c r="W24" s="265">
        <f t="shared" si="12"/>
        <v>100.55076923076923</v>
      </c>
      <c r="X24" s="265">
        <f t="shared" si="12"/>
        <v>100.55076923076923</v>
      </c>
      <c r="Y24" s="265">
        <f t="shared" si="12"/>
        <v>100.55076923076923</v>
      </c>
      <c r="Z24" s="265">
        <f t="shared" si="12"/>
        <v>100.55076923076923</v>
      </c>
      <c r="AA24" s="265">
        <f t="shared" si="12"/>
        <v>100.55076923076923</v>
      </c>
      <c r="AB24" s="265">
        <f t="shared" si="12"/>
        <v>100.55076923076923</v>
      </c>
      <c r="AC24" s="265">
        <f t="shared" si="12"/>
        <v>100.55076923076923</v>
      </c>
    </row>
    <row r="25" spans="1:29">
      <c r="A25" s="283" t="s">
        <v>154</v>
      </c>
      <c r="B25" s="255">
        <v>4.5507692307692302</v>
      </c>
      <c r="C25" s="185" t="s">
        <v>17</v>
      </c>
      <c r="D25" s="172">
        <f>VLOOKUP(C25,$AQ$59:$AR$64,2,0)</f>
        <v>0</v>
      </c>
      <c r="E25" s="244">
        <f t="shared" si="11"/>
        <v>0</v>
      </c>
      <c r="F25" s="245"/>
      <c r="G25" s="245" t="e">
        <f t="shared" ref="G25:G36" si="13">VLOOKUP(F25,$AN$59:$AO$70,2,0)</f>
        <v>#N/A</v>
      </c>
      <c r="H25" s="246">
        <f t="shared" si="7"/>
        <v>4.5507692307692302</v>
      </c>
      <c r="I25" s="247">
        <f t="shared" ref="I25:I51" si="14">+H25</f>
        <v>4.5507692307692302</v>
      </c>
      <c r="J25" s="248">
        <f>+'Sprint1 '!G27</f>
        <v>0</v>
      </c>
      <c r="K25" s="248">
        <f>+'Sprint1 '!H27</f>
        <v>0</v>
      </c>
      <c r="L25" s="248">
        <f>+'Sprint1 '!I27</f>
        <v>0</v>
      </c>
      <c r="M25" s="248">
        <f>+'Sprint1 '!J27</f>
        <v>0</v>
      </c>
      <c r="N25" s="248">
        <f>+'Sprint1 '!K27</f>
        <v>0</v>
      </c>
      <c r="O25" s="248">
        <f>+'Sprint1 '!L27</f>
        <v>0</v>
      </c>
      <c r="P25" s="248">
        <f>+'Sprint1 '!M27</f>
        <v>0</v>
      </c>
      <c r="Q25" s="248">
        <f>+'Sprint1 '!N27</f>
        <v>0</v>
      </c>
      <c r="R25" s="248">
        <f>+'Sprint1 '!O27</f>
        <v>0</v>
      </c>
      <c r="S25" s="248">
        <f>+'Sprint1 '!P27</f>
        <v>0</v>
      </c>
      <c r="T25" s="248">
        <f>+'Sprint1 '!Q27</f>
        <v>0</v>
      </c>
      <c r="U25" s="248">
        <f>+'Sprint1 '!R27</f>
        <v>0</v>
      </c>
      <c r="V25" s="248">
        <f>+'Sprint1 '!S27</f>
        <v>0</v>
      </c>
      <c r="W25" s="248">
        <f>+'Sprint1 '!T27</f>
        <v>0</v>
      </c>
      <c r="X25" s="248">
        <f>+'Sprint1 '!U27</f>
        <v>0</v>
      </c>
      <c r="Y25" s="248">
        <f>+'Sprint1 '!V27</f>
        <v>0</v>
      </c>
      <c r="Z25" s="249">
        <f>+'Sprint1 '!W27</f>
        <v>0</v>
      </c>
      <c r="AA25" s="249">
        <f>+'Sprint1 '!X27</f>
        <v>0</v>
      </c>
      <c r="AB25" s="249">
        <f>+'Sprint1 '!Y27</f>
        <v>0</v>
      </c>
      <c r="AC25" s="249">
        <f>+'Sprint1 '!Z27</f>
        <v>0</v>
      </c>
    </row>
    <row r="26" spans="1:29">
      <c r="A26" s="283" t="s">
        <v>155</v>
      </c>
      <c r="B26" s="255">
        <v>11.376923076923076</v>
      </c>
      <c r="C26" s="185" t="s">
        <v>17</v>
      </c>
      <c r="D26" s="172">
        <f t="shared" ref="D26:D55" si="15">VLOOKUP(C26,$AQ$59:$AR$64,2,0)</f>
        <v>0</v>
      </c>
      <c r="E26" s="244">
        <f t="shared" si="11"/>
        <v>11</v>
      </c>
      <c r="F26" s="245"/>
      <c r="G26" s="245" t="e">
        <f t="shared" si="13"/>
        <v>#N/A</v>
      </c>
      <c r="H26" s="250">
        <f t="shared" si="7"/>
        <v>11.376923076923076</v>
      </c>
      <c r="I26" s="247">
        <f t="shared" si="14"/>
        <v>11.376923076923076</v>
      </c>
      <c r="J26" s="248">
        <f>+'Sprint1 '!G28</f>
        <v>11.376923076923076</v>
      </c>
      <c r="K26" s="248">
        <f>+'Sprint1 '!H28</f>
        <v>11</v>
      </c>
      <c r="L26" s="248">
        <f>+'Sprint1 '!I28</f>
        <v>11</v>
      </c>
      <c r="M26" s="248">
        <f>+'Sprint1 '!J28</f>
        <v>11</v>
      </c>
      <c r="N26" s="248">
        <f>+'Sprint1 '!K28</f>
        <v>11</v>
      </c>
      <c r="O26" s="248">
        <f>+'Sprint1 '!L28</f>
        <v>11</v>
      </c>
      <c r="P26" s="248">
        <f>+'Sprint1 '!M28</f>
        <v>11</v>
      </c>
      <c r="Q26" s="248">
        <f>+'Sprint1 '!N28</f>
        <v>11</v>
      </c>
      <c r="R26" s="248">
        <f>+'Sprint1 '!O28</f>
        <v>11</v>
      </c>
      <c r="S26" s="248">
        <f>+'Sprint1 '!P28</f>
        <v>11</v>
      </c>
      <c r="T26" s="248">
        <f>+'Sprint1 '!Q28</f>
        <v>11</v>
      </c>
      <c r="U26" s="248">
        <f>+'Sprint1 '!R28</f>
        <v>11</v>
      </c>
      <c r="V26" s="248">
        <f>+'Sprint1 '!S28</f>
        <v>11</v>
      </c>
      <c r="W26" s="248">
        <f>+'Sprint1 '!T28</f>
        <v>11</v>
      </c>
      <c r="X26" s="248">
        <f>+'Sprint1 '!U28</f>
        <v>11</v>
      </c>
      <c r="Y26" s="248">
        <f>+'Sprint1 '!V28</f>
        <v>11</v>
      </c>
      <c r="Z26" s="249">
        <f>+'Sprint1 '!W28</f>
        <v>11</v>
      </c>
      <c r="AA26" s="249">
        <f>+'Sprint1 '!X28</f>
        <v>11</v>
      </c>
      <c r="AB26" s="249">
        <f>+'Sprint1 '!Y28</f>
        <v>11</v>
      </c>
      <c r="AC26" s="249">
        <f>+'Sprint1 '!Z28</f>
        <v>11</v>
      </c>
    </row>
    <row r="27" spans="1:29">
      <c r="A27" s="283" t="s">
        <v>156</v>
      </c>
      <c r="B27" s="255">
        <v>4.5507692307692302</v>
      </c>
      <c r="C27" s="185" t="s">
        <v>17</v>
      </c>
      <c r="D27" s="172">
        <f t="shared" si="15"/>
        <v>0</v>
      </c>
      <c r="E27" s="244">
        <f t="shared" si="11"/>
        <v>0</v>
      </c>
      <c r="F27" s="245"/>
      <c r="G27" s="245" t="e">
        <f t="shared" si="13"/>
        <v>#N/A</v>
      </c>
      <c r="H27" s="250">
        <f t="shared" si="7"/>
        <v>4.5507692307692302</v>
      </c>
      <c r="I27" s="251">
        <f t="shared" si="14"/>
        <v>4.5507692307692302</v>
      </c>
      <c r="J27" s="248">
        <f>+'Sprint1 '!G29</f>
        <v>4.5507692307692302</v>
      </c>
      <c r="K27" s="248">
        <f>+'Sprint1 '!H29</f>
        <v>0</v>
      </c>
      <c r="L27" s="248">
        <f>+'Sprint1 '!I29</f>
        <v>0</v>
      </c>
      <c r="M27" s="248">
        <f>+'Sprint1 '!J29</f>
        <v>0</v>
      </c>
      <c r="N27" s="248">
        <f>+'Sprint1 '!K29</f>
        <v>0</v>
      </c>
      <c r="O27" s="248">
        <f>+'Sprint1 '!L29</f>
        <v>0</v>
      </c>
      <c r="P27" s="248">
        <f>+'Sprint1 '!M29</f>
        <v>0</v>
      </c>
      <c r="Q27" s="248">
        <f>+'Sprint1 '!N29</f>
        <v>0</v>
      </c>
      <c r="R27" s="248">
        <f>+'Sprint1 '!O29</f>
        <v>0</v>
      </c>
      <c r="S27" s="248">
        <f>+'Sprint1 '!P29</f>
        <v>0</v>
      </c>
      <c r="T27" s="248">
        <f>+'Sprint1 '!Q29</f>
        <v>0</v>
      </c>
      <c r="U27" s="248">
        <f>+'Sprint1 '!R29</f>
        <v>0</v>
      </c>
      <c r="V27" s="248">
        <f>+'Sprint1 '!S29</f>
        <v>0</v>
      </c>
      <c r="W27" s="248">
        <f>+'Sprint1 '!T29</f>
        <v>0</v>
      </c>
      <c r="X27" s="248">
        <f>+'Sprint1 '!U29</f>
        <v>0</v>
      </c>
      <c r="Y27" s="248">
        <f>+'Sprint1 '!V29</f>
        <v>0</v>
      </c>
      <c r="Z27" s="249">
        <f>+'Sprint1 '!W29</f>
        <v>0</v>
      </c>
      <c r="AA27" s="249">
        <f>+'Sprint1 '!X29</f>
        <v>0</v>
      </c>
      <c r="AB27" s="249">
        <f>+'Sprint1 '!Y29</f>
        <v>0</v>
      </c>
      <c r="AC27" s="249">
        <f>+'Sprint1 '!Z29</f>
        <v>0</v>
      </c>
    </row>
    <row r="28" spans="1:29">
      <c r="A28" s="283" t="s">
        <v>157</v>
      </c>
      <c r="B28" s="255">
        <v>4.5507692307692302</v>
      </c>
      <c r="C28" s="185" t="s">
        <v>17</v>
      </c>
      <c r="D28" s="172">
        <f t="shared" si="15"/>
        <v>0</v>
      </c>
      <c r="E28" s="244">
        <f t="shared" si="11"/>
        <v>9</v>
      </c>
      <c r="F28" s="245"/>
      <c r="G28" s="245" t="e">
        <f t="shared" si="13"/>
        <v>#N/A</v>
      </c>
      <c r="H28" s="250">
        <f t="shared" si="7"/>
        <v>4.5507692307692302</v>
      </c>
      <c r="I28" s="251">
        <f t="shared" si="14"/>
        <v>4.5507692307692302</v>
      </c>
      <c r="J28" s="248">
        <f>+'Sprint1 '!G30</f>
        <v>5</v>
      </c>
      <c r="K28" s="248">
        <f>+'Sprint1 '!H30</f>
        <v>9</v>
      </c>
      <c r="L28" s="248">
        <f>+'Sprint1 '!I30</f>
        <v>9</v>
      </c>
      <c r="M28" s="248">
        <f>+'Sprint1 '!J30</f>
        <v>9</v>
      </c>
      <c r="N28" s="248">
        <f>+'Sprint1 '!K30</f>
        <v>9</v>
      </c>
      <c r="O28" s="248">
        <f>+'Sprint1 '!L30</f>
        <v>9</v>
      </c>
      <c r="P28" s="248">
        <f>+'Sprint1 '!M30</f>
        <v>9</v>
      </c>
      <c r="Q28" s="248">
        <f>+'Sprint1 '!N30</f>
        <v>9</v>
      </c>
      <c r="R28" s="248">
        <f>+'Sprint1 '!O30</f>
        <v>9</v>
      </c>
      <c r="S28" s="248">
        <f>+'Sprint1 '!P30</f>
        <v>9</v>
      </c>
      <c r="T28" s="248">
        <f>+'Sprint1 '!Q30</f>
        <v>9</v>
      </c>
      <c r="U28" s="248">
        <f>+'Sprint1 '!R30</f>
        <v>9</v>
      </c>
      <c r="V28" s="248">
        <f>+'Sprint1 '!S30</f>
        <v>9</v>
      </c>
      <c r="W28" s="248">
        <f>+'Sprint1 '!T30</f>
        <v>9</v>
      </c>
      <c r="X28" s="248">
        <f>+'Sprint1 '!U30</f>
        <v>9</v>
      </c>
      <c r="Y28" s="248">
        <f>+'Sprint1 '!V30</f>
        <v>9</v>
      </c>
      <c r="Z28" s="249">
        <f>+'Sprint1 '!W30</f>
        <v>9</v>
      </c>
      <c r="AA28" s="249">
        <f>+'Sprint1 '!X30</f>
        <v>9</v>
      </c>
      <c r="AB28" s="249">
        <f>+'Sprint1 '!Y30</f>
        <v>9</v>
      </c>
      <c r="AC28" s="249">
        <f>+'Sprint1 '!Z30</f>
        <v>9</v>
      </c>
    </row>
    <row r="29" spans="1:29">
      <c r="A29" s="283" t="s">
        <v>158</v>
      </c>
      <c r="B29" s="255">
        <v>11.376923076923076</v>
      </c>
      <c r="C29" s="185" t="s">
        <v>17</v>
      </c>
      <c r="D29" s="172">
        <f t="shared" si="15"/>
        <v>0</v>
      </c>
      <c r="E29" s="244">
        <f t="shared" si="11"/>
        <v>3</v>
      </c>
      <c r="F29" s="245"/>
      <c r="G29" s="245" t="e">
        <f t="shared" si="13"/>
        <v>#N/A</v>
      </c>
      <c r="H29" s="250">
        <f t="shared" si="7"/>
        <v>11.376923076923076</v>
      </c>
      <c r="I29" s="251">
        <f t="shared" si="14"/>
        <v>11.376923076923076</v>
      </c>
      <c r="J29" s="248">
        <f>+'Sprint1 '!G31</f>
        <v>11.376923076923076</v>
      </c>
      <c r="K29" s="248">
        <f>+'Sprint1 '!H31</f>
        <v>5</v>
      </c>
      <c r="L29" s="248">
        <f>+'Sprint1 '!I31</f>
        <v>0</v>
      </c>
      <c r="M29" s="248">
        <f>+'Sprint1 '!J31</f>
        <v>0</v>
      </c>
      <c r="N29" s="248">
        <f>+'Sprint1 '!K31</f>
        <v>3</v>
      </c>
      <c r="O29" s="248">
        <f>+'Sprint1 '!L31</f>
        <v>3</v>
      </c>
      <c r="P29" s="248">
        <f>+'Sprint1 '!M31</f>
        <v>3</v>
      </c>
      <c r="Q29" s="248">
        <f>+'Sprint1 '!N31</f>
        <v>3</v>
      </c>
      <c r="R29" s="248">
        <f>+'Sprint1 '!O31</f>
        <v>3</v>
      </c>
      <c r="S29" s="248">
        <f>+'Sprint1 '!P31</f>
        <v>3</v>
      </c>
      <c r="T29" s="248">
        <f>+'Sprint1 '!Q31</f>
        <v>3</v>
      </c>
      <c r="U29" s="248">
        <f>+'Sprint1 '!R31</f>
        <v>3</v>
      </c>
      <c r="V29" s="248">
        <f>+'Sprint1 '!S31</f>
        <v>3</v>
      </c>
      <c r="W29" s="248">
        <f>+'Sprint1 '!T31</f>
        <v>3</v>
      </c>
      <c r="X29" s="248">
        <f>+'Sprint1 '!U31</f>
        <v>3</v>
      </c>
      <c r="Y29" s="248">
        <f>+'Sprint1 '!V31</f>
        <v>3</v>
      </c>
      <c r="Z29" s="249">
        <f>+'Sprint1 '!W31</f>
        <v>3</v>
      </c>
      <c r="AA29" s="249">
        <f>+'Sprint1 '!X31</f>
        <v>3</v>
      </c>
      <c r="AB29" s="249">
        <f>+'Sprint1 '!Y31</f>
        <v>3</v>
      </c>
      <c r="AC29" s="249">
        <f>+'Sprint1 '!Z31</f>
        <v>3</v>
      </c>
    </row>
    <row r="30" spans="1:29">
      <c r="A30" s="283" t="s">
        <v>159</v>
      </c>
      <c r="B30" s="255">
        <v>11.376923076923076</v>
      </c>
      <c r="C30" s="185" t="s">
        <v>17</v>
      </c>
      <c r="D30" s="172">
        <f t="shared" si="15"/>
        <v>0</v>
      </c>
      <c r="E30" s="244">
        <f t="shared" si="11"/>
        <v>0</v>
      </c>
      <c r="F30" s="245"/>
      <c r="G30" s="245" t="e">
        <f t="shared" si="13"/>
        <v>#N/A</v>
      </c>
      <c r="H30" s="250">
        <f t="shared" si="7"/>
        <v>11.376923076923076</v>
      </c>
      <c r="I30" s="251">
        <f t="shared" si="14"/>
        <v>11.376923076923076</v>
      </c>
      <c r="J30" s="248">
        <f>+'Sprint1 '!G32</f>
        <v>11.376923076923076</v>
      </c>
      <c r="K30" s="248">
        <f>+'Sprint1 '!H32</f>
        <v>11</v>
      </c>
      <c r="L30" s="248">
        <f>+'Sprint1 '!I32</f>
        <v>0</v>
      </c>
      <c r="M30" s="248">
        <f>+'Sprint1 '!J32</f>
        <v>0</v>
      </c>
      <c r="N30" s="248">
        <f>+'Sprint1 '!K32</f>
        <v>0</v>
      </c>
      <c r="O30" s="248">
        <f>+'Sprint1 '!L32</f>
        <v>0</v>
      </c>
      <c r="P30" s="248">
        <f>+'Sprint1 '!M32</f>
        <v>0</v>
      </c>
      <c r="Q30" s="248">
        <f>+'Sprint1 '!N32</f>
        <v>0</v>
      </c>
      <c r="R30" s="248">
        <f>+'Sprint1 '!O32</f>
        <v>0</v>
      </c>
      <c r="S30" s="248">
        <f>+'Sprint1 '!P32</f>
        <v>0</v>
      </c>
      <c r="T30" s="248">
        <f>+'Sprint1 '!Q32</f>
        <v>0</v>
      </c>
      <c r="U30" s="248">
        <f>+'Sprint1 '!R32</f>
        <v>0</v>
      </c>
      <c r="V30" s="248">
        <f>+'Sprint1 '!S32</f>
        <v>0</v>
      </c>
      <c r="W30" s="248">
        <f>+'Sprint1 '!T32</f>
        <v>0</v>
      </c>
      <c r="X30" s="248">
        <f>+'Sprint1 '!U32</f>
        <v>0</v>
      </c>
      <c r="Y30" s="248">
        <f>+'Sprint1 '!V32</f>
        <v>0</v>
      </c>
      <c r="Z30" s="249">
        <f>+'Sprint1 '!W32</f>
        <v>0</v>
      </c>
      <c r="AA30" s="249">
        <f>+'Sprint1 '!X32</f>
        <v>0</v>
      </c>
      <c r="AB30" s="249">
        <f>+'Sprint1 '!Y32</f>
        <v>0</v>
      </c>
      <c r="AC30" s="249">
        <f>+'Sprint1 '!Z32</f>
        <v>0</v>
      </c>
    </row>
    <row r="31" spans="1:29">
      <c r="A31" s="284" t="s">
        <v>160</v>
      </c>
      <c r="B31" s="255">
        <v>5.1196153846153836</v>
      </c>
      <c r="C31" s="185" t="s">
        <v>17</v>
      </c>
      <c r="D31" s="172">
        <f t="shared" si="15"/>
        <v>0</v>
      </c>
      <c r="E31" s="244">
        <f t="shared" si="11"/>
        <v>0</v>
      </c>
      <c r="F31" s="245"/>
      <c r="G31" s="245" t="e">
        <f t="shared" si="13"/>
        <v>#N/A</v>
      </c>
      <c r="H31" s="250">
        <f t="shared" ref="H31:H51" si="16">+D31*B31+B31</f>
        <v>5.1196153846153836</v>
      </c>
      <c r="I31" s="251">
        <f t="shared" si="14"/>
        <v>5.1196153846153836</v>
      </c>
      <c r="J31" s="248">
        <f>+'Sprint1 '!G33</f>
        <v>5.1196153846153836</v>
      </c>
      <c r="K31" s="248">
        <f>+'Sprint1 '!H33</f>
        <v>0</v>
      </c>
      <c r="L31" s="248">
        <f>+'Sprint1 '!I33</f>
        <v>0</v>
      </c>
      <c r="M31" s="248">
        <f>+'Sprint1 '!J33</f>
        <v>0</v>
      </c>
      <c r="N31" s="248">
        <f>+'Sprint1 '!K33</f>
        <v>0</v>
      </c>
      <c r="O31" s="248">
        <f>+'Sprint1 '!L33</f>
        <v>0</v>
      </c>
      <c r="P31" s="248">
        <f>+'Sprint1 '!M33</f>
        <v>0</v>
      </c>
      <c r="Q31" s="248">
        <f>+'Sprint1 '!N33</f>
        <v>0</v>
      </c>
      <c r="R31" s="248">
        <f>+'Sprint1 '!O33</f>
        <v>0</v>
      </c>
      <c r="S31" s="248">
        <f>+'Sprint1 '!P33</f>
        <v>0</v>
      </c>
      <c r="T31" s="248">
        <f>+'Sprint1 '!Q33</f>
        <v>0</v>
      </c>
      <c r="U31" s="248">
        <f>+'Sprint1 '!R33</f>
        <v>0</v>
      </c>
      <c r="V31" s="248">
        <f>+'Sprint1 '!S33</f>
        <v>0</v>
      </c>
      <c r="W31" s="248">
        <f>+'Sprint1 '!T33</f>
        <v>0</v>
      </c>
      <c r="X31" s="248">
        <f>+'Sprint1 '!U33</f>
        <v>0</v>
      </c>
      <c r="Y31" s="248">
        <f>+'Sprint1 '!V33</f>
        <v>0</v>
      </c>
      <c r="Z31" s="249">
        <f>+'Sprint1 '!W33</f>
        <v>0</v>
      </c>
      <c r="AA31" s="249">
        <f>+'Sprint1 '!X33</f>
        <v>0</v>
      </c>
      <c r="AB31" s="249">
        <f>+'Sprint1 '!Y33</f>
        <v>0</v>
      </c>
      <c r="AC31" s="249">
        <f>+'Sprint1 '!Z33</f>
        <v>0</v>
      </c>
    </row>
    <row r="32" spans="1:29">
      <c r="A32" s="284" t="s">
        <v>161</v>
      </c>
      <c r="B32" s="255">
        <v>1.7065384615384613</v>
      </c>
      <c r="C32" s="185" t="s">
        <v>17</v>
      </c>
      <c r="D32" s="172">
        <f t="shared" si="15"/>
        <v>0</v>
      </c>
      <c r="E32" s="244">
        <f t="shared" si="11"/>
        <v>0</v>
      </c>
      <c r="F32" s="245"/>
      <c r="G32" s="245" t="e">
        <f t="shared" si="13"/>
        <v>#N/A</v>
      </c>
      <c r="H32" s="250">
        <f t="shared" si="16"/>
        <v>1.7065384615384613</v>
      </c>
      <c r="I32" s="251">
        <f t="shared" si="14"/>
        <v>1.7065384615384613</v>
      </c>
      <c r="J32" s="248">
        <f>+'Sprint1 '!G34</f>
        <v>1.7065384615384613</v>
      </c>
      <c r="K32" s="248">
        <f>+'Sprint1 '!H34</f>
        <v>0</v>
      </c>
      <c r="L32" s="248">
        <f>+'Sprint1 '!I34</f>
        <v>0</v>
      </c>
      <c r="M32" s="248">
        <f>+'Sprint1 '!J34</f>
        <v>0</v>
      </c>
      <c r="N32" s="248">
        <f>+'Sprint1 '!K34</f>
        <v>0</v>
      </c>
      <c r="O32" s="248">
        <f>+'Sprint1 '!L34</f>
        <v>0</v>
      </c>
      <c r="P32" s="248">
        <f>+'Sprint1 '!M34</f>
        <v>0</v>
      </c>
      <c r="Q32" s="248">
        <f>+'Sprint1 '!N34</f>
        <v>0</v>
      </c>
      <c r="R32" s="248">
        <f>+'Sprint1 '!O34</f>
        <v>0</v>
      </c>
      <c r="S32" s="248">
        <f>+'Sprint1 '!P34</f>
        <v>0</v>
      </c>
      <c r="T32" s="248">
        <f>+'Sprint1 '!Q34</f>
        <v>0</v>
      </c>
      <c r="U32" s="248">
        <f>+'Sprint1 '!R34</f>
        <v>0</v>
      </c>
      <c r="V32" s="248">
        <f>+'Sprint1 '!S34</f>
        <v>0</v>
      </c>
      <c r="W32" s="248">
        <f>+'Sprint1 '!T34</f>
        <v>0</v>
      </c>
      <c r="X32" s="248">
        <f>+'Sprint1 '!U34</f>
        <v>0</v>
      </c>
      <c r="Y32" s="248">
        <f>+'Sprint1 '!V34</f>
        <v>0</v>
      </c>
      <c r="Z32" s="249">
        <f>+'Sprint1 '!W34</f>
        <v>0</v>
      </c>
      <c r="AA32" s="249">
        <f>+'Sprint1 '!X34</f>
        <v>0</v>
      </c>
      <c r="AB32" s="249">
        <f>+'Sprint1 '!Y34</f>
        <v>0</v>
      </c>
      <c r="AC32" s="249">
        <f>+'Sprint1 '!Z34</f>
        <v>0</v>
      </c>
    </row>
    <row r="33" spans="1:29">
      <c r="A33" s="284" t="s">
        <v>162</v>
      </c>
      <c r="B33" s="255">
        <v>1.7065384615384613</v>
      </c>
      <c r="C33" s="185" t="s">
        <v>17</v>
      </c>
      <c r="D33" s="172">
        <f t="shared" si="15"/>
        <v>0</v>
      </c>
      <c r="E33" s="244">
        <f t="shared" si="11"/>
        <v>0</v>
      </c>
      <c r="F33" s="245"/>
      <c r="G33" s="245" t="e">
        <f t="shared" si="13"/>
        <v>#N/A</v>
      </c>
      <c r="H33" s="250">
        <f t="shared" si="16"/>
        <v>1.7065384615384613</v>
      </c>
      <c r="I33" s="251">
        <f t="shared" si="14"/>
        <v>1.7065384615384613</v>
      </c>
      <c r="J33" s="248">
        <f>+'Sprint1 '!G35</f>
        <v>1.7065384615384613</v>
      </c>
      <c r="K33" s="248">
        <f>+'Sprint1 '!H35</f>
        <v>0</v>
      </c>
      <c r="L33" s="248">
        <f>+'Sprint1 '!I35</f>
        <v>0</v>
      </c>
      <c r="M33" s="248">
        <f>+'Sprint1 '!J35</f>
        <v>0</v>
      </c>
      <c r="N33" s="248">
        <f>+'Sprint1 '!K35</f>
        <v>0</v>
      </c>
      <c r="O33" s="248">
        <f>+'Sprint1 '!L35</f>
        <v>0</v>
      </c>
      <c r="P33" s="248">
        <f>+'Sprint1 '!M35</f>
        <v>0</v>
      </c>
      <c r="Q33" s="248">
        <f>+'Sprint1 '!N35</f>
        <v>0</v>
      </c>
      <c r="R33" s="248">
        <f>+'Sprint1 '!O35</f>
        <v>0</v>
      </c>
      <c r="S33" s="248">
        <f>+'Sprint1 '!P35</f>
        <v>0</v>
      </c>
      <c r="T33" s="248">
        <f>+'Sprint1 '!Q35</f>
        <v>0</v>
      </c>
      <c r="U33" s="248">
        <f>+'Sprint1 '!R35</f>
        <v>0</v>
      </c>
      <c r="V33" s="248">
        <f>+'Sprint1 '!S35</f>
        <v>0</v>
      </c>
      <c r="W33" s="248">
        <f>+'Sprint1 '!T35</f>
        <v>0</v>
      </c>
      <c r="X33" s="248">
        <f>+'Sprint1 '!U35</f>
        <v>0</v>
      </c>
      <c r="Y33" s="248">
        <f>+'Sprint1 '!V35</f>
        <v>0</v>
      </c>
      <c r="Z33" s="249">
        <f>+'Sprint1 '!W35</f>
        <v>0</v>
      </c>
      <c r="AA33" s="249">
        <f>+'Sprint1 '!X35</f>
        <v>0</v>
      </c>
      <c r="AB33" s="249">
        <f>+'Sprint1 '!Y35</f>
        <v>0</v>
      </c>
      <c r="AC33" s="249">
        <f>+'Sprint1 '!Z35</f>
        <v>0</v>
      </c>
    </row>
    <row r="34" spans="1:29">
      <c r="A34" s="284" t="s">
        <v>163</v>
      </c>
      <c r="B34" s="255">
        <v>1.7065384615384613</v>
      </c>
      <c r="C34" s="185" t="s">
        <v>17</v>
      </c>
      <c r="D34" s="172">
        <f t="shared" si="15"/>
        <v>0</v>
      </c>
      <c r="E34" s="244">
        <f t="shared" si="11"/>
        <v>0</v>
      </c>
      <c r="F34" s="245"/>
      <c r="G34" s="245" t="e">
        <f t="shared" si="13"/>
        <v>#N/A</v>
      </c>
      <c r="H34" s="250">
        <f t="shared" si="16"/>
        <v>1.7065384615384613</v>
      </c>
      <c r="I34" s="251">
        <f t="shared" si="14"/>
        <v>1.7065384615384613</v>
      </c>
      <c r="J34" s="248">
        <f>+'Sprint1 '!G36</f>
        <v>1.7065384615384613</v>
      </c>
      <c r="K34" s="248">
        <f>+'Sprint1 '!H36</f>
        <v>0</v>
      </c>
      <c r="L34" s="248">
        <f>+'Sprint1 '!I36</f>
        <v>0</v>
      </c>
      <c r="M34" s="248">
        <f>+'Sprint1 '!J36</f>
        <v>0</v>
      </c>
      <c r="N34" s="248">
        <f>+'Sprint1 '!K36</f>
        <v>0</v>
      </c>
      <c r="O34" s="248">
        <f>+'Sprint1 '!L36</f>
        <v>0</v>
      </c>
      <c r="P34" s="248">
        <f>+'Sprint1 '!M36</f>
        <v>0</v>
      </c>
      <c r="Q34" s="248">
        <f>+'Sprint1 '!N36</f>
        <v>0</v>
      </c>
      <c r="R34" s="248">
        <f>+'Sprint1 '!O36</f>
        <v>0</v>
      </c>
      <c r="S34" s="248">
        <f>+'Sprint1 '!P36</f>
        <v>0</v>
      </c>
      <c r="T34" s="248">
        <f>+'Sprint1 '!Q36</f>
        <v>0</v>
      </c>
      <c r="U34" s="248">
        <f>+'Sprint1 '!R36</f>
        <v>0</v>
      </c>
      <c r="V34" s="248">
        <f>+'Sprint1 '!S36</f>
        <v>0</v>
      </c>
      <c r="W34" s="248">
        <f>+'Sprint1 '!T36</f>
        <v>0</v>
      </c>
      <c r="X34" s="248">
        <f>+'Sprint1 '!U36</f>
        <v>0</v>
      </c>
      <c r="Y34" s="248">
        <f>+'Sprint1 '!V36</f>
        <v>0</v>
      </c>
      <c r="Z34" s="249">
        <f>+'Sprint1 '!W36</f>
        <v>0</v>
      </c>
      <c r="AA34" s="249">
        <f>+'Sprint1 '!X36</f>
        <v>0</v>
      </c>
      <c r="AB34" s="249">
        <f>+'Sprint1 '!Y36</f>
        <v>0</v>
      </c>
      <c r="AC34" s="249">
        <f>+'Sprint1 '!Z36</f>
        <v>0</v>
      </c>
    </row>
    <row r="35" spans="1:29">
      <c r="A35" s="283" t="s">
        <v>164</v>
      </c>
      <c r="B35" s="255">
        <v>11.376923076923076</v>
      </c>
      <c r="C35" s="185" t="s">
        <v>17</v>
      </c>
      <c r="D35" s="172">
        <f t="shared" si="15"/>
        <v>0</v>
      </c>
      <c r="E35" s="244">
        <f t="shared" si="11"/>
        <v>0</v>
      </c>
      <c r="F35" s="245"/>
      <c r="G35" s="245" t="e">
        <f t="shared" si="13"/>
        <v>#N/A</v>
      </c>
      <c r="H35" s="250">
        <f t="shared" si="16"/>
        <v>11.376923076923076</v>
      </c>
      <c r="I35" s="251">
        <f t="shared" si="14"/>
        <v>11.376923076923076</v>
      </c>
      <c r="J35" s="248">
        <f>+'Sprint1 '!G37</f>
        <v>11.376923076923076</v>
      </c>
      <c r="K35" s="248">
        <f>+'Sprint1 '!H37</f>
        <v>11</v>
      </c>
      <c r="L35" s="248">
        <f>+'Sprint1 '!I37</f>
        <v>0</v>
      </c>
      <c r="M35" s="248">
        <f>+'Sprint1 '!J37</f>
        <v>0</v>
      </c>
      <c r="N35" s="248">
        <f>+'Sprint1 '!K37</f>
        <v>0</v>
      </c>
      <c r="O35" s="248">
        <f>+'Sprint1 '!L37</f>
        <v>0</v>
      </c>
      <c r="P35" s="248">
        <f>+'Sprint1 '!M37</f>
        <v>0</v>
      </c>
      <c r="Q35" s="248">
        <f>+'Sprint1 '!N37</f>
        <v>0</v>
      </c>
      <c r="R35" s="248">
        <f>+'Sprint1 '!O37</f>
        <v>0</v>
      </c>
      <c r="S35" s="248">
        <f>+'Sprint1 '!P37</f>
        <v>0</v>
      </c>
      <c r="T35" s="248">
        <f>+'Sprint1 '!Q37</f>
        <v>0</v>
      </c>
      <c r="U35" s="248">
        <f>+'Sprint1 '!R37</f>
        <v>0</v>
      </c>
      <c r="V35" s="248">
        <f>+'Sprint1 '!S37</f>
        <v>0</v>
      </c>
      <c r="W35" s="248">
        <f>+'Sprint1 '!T37</f>
        <v>0</v>
      </c>
      <c r="X35" s="248">
        <f>+'Sprint1 '!U37</f>
        <v>0</v>
      </c>
      <c r="Y35" s="248">
        <f>+'Sprint1 '!V37</f>
        <v>0</v>
      </c>
      <c r="Z35" s="249">
        <f>+'Sprint1 '!W37</f>
        <v>0</v>
      </c>
      <c r="AA35" s="249">
        <f>+'Sprint1 '!X37</f>
        <v>0</v>
      </c>
      <c r="AB35" s="249">
        <f>+'Sprint1 '!Y37</f>
        <v>0</v>
      </c>
      <c r="AC35" s="249">
        <f>+'Sprint1 '!Z37</f>
        <v>0</v>
      </c>
    </row>
    <row r="36" spans="1:29">
      <c r="A36" s="303" t="s">
        <v>166</v>
      </c>
      <c r="B36" s="255">
        <v>4.5507692307692302</v>
      </c>
      <c r="C36" s="185" t="s">
        <v>17</v>
      </c>
      <c r="D36" s="172">
        <f t="shared" si="15"/>
        <v>0</v>
      </c>
      <c r="E36" s="244">
        <f t="shared" si="11"/>
        <v>0</v>
      </c>
      <c r="F36" s="245"/>
      <c r="G36" s="252" t="e">
        <f t="shared" si="13"/>
        <v>#N/A</v>
      </c>
      <c r="H36" s="253">
        <f t="shared" si="16"/>
        <v>4.5507692307692302</v>
      </c>
      <c r="I36" s="251">
        <f t="shared" si="14"/>
        <v>4.5507692307692302</v>
      </c>
      <c r="J36" s="248">
        <f>+'Sprint1 '!G38</f>
        <v>4.5507692307692302</v>
      </c>
      <c r="K36" s="248">
        <f>+'Sprint1 '!H38</f>
        <v>4.5507692307692302</v>
      </c>
      <c r="L36" s="248">
        <f>+'Sprint1 '!I38</f>
        <v>4.5507692307692302</v>
      </c>
      <c r="M36" s="248">
        <f>+'Sprint1 '!J38</f>
        <v>10</v>
      </c>
      <c r="N36" s="248">
        <f>+'Sprint1 '!K38</f>
        <v>0</v>
      </c>
      <c r="O36" s="248">
        <f>+'Sprint1 '!L38</f>
        <v>0</v>
      </c>
      <c r="P36" s="248">
        <f>+'Sprint1 '!M38</f>
        <v>0</v>
      </c>
      <c r="Q36" s="248">
        <f>+'Sprint1 '!N38</f>
        <v>0</v>
      </c>
      <c r="R36" s="248">
        <f>+'Sprint1 '!O38</f>
        <v>0</v>
      </c>
      <c r="S36" s="248">
        <f>+'Sprint1 '!P38</f>
        <v>0</v>
      </c>
      <c r="T36" s="248">
        <f>+'Sprint1 '!Q38</f>
        <v>0</v>
      </c>
      <c r="U36" s="248">
        <f>+'Sprint1 '!R38</f>
        <v>0</v>
      </c>
      <c r="V36" s="248">
        <f>+'Sprint1 '!S38</f>
        <v>0</v>
      </c>
      <c r="W36" s="248">
        <f>+'Sprint1 '!T38</f>
        <v>0</v>
      </c>
      <c r="X36" s="248">
        <f>+'Sprint1 '!U38</f>
        <v>0</v>
      </c>
      <c r="Y36" s="248">
        <f>+'Sprint1 '!V38</f>
        <v>0</v>
      </c>
      <c r="Z36" s="249">
        <f>+'Sprint1 '!W38</f>
        <v>0</v>
      </c>
      <c r="AA36" s="249">
        <f>+'Sprint1 '!X38</f>
        <v>0</v>
      </c>
      <c r="AB36" s="249">
        <f>+'Sprint1 '!Y38</f>
        <v>0</v>
      </c>
      <c r="AC36" s="249">
        <f>+'Sprint1 '!Z38</f>
        <v>0</v>
      </c>
    </row>
    <row r="37" spans="1:29" ht="13.5" thickBot="1">
      <c r="A37" s="303" t="s">
        <v>167</v>
      </c>
      <c r="B37" s="255">
        <v>11.376923076923076</v>
      </c>
      <c r="C37" s="185" t="s">
        <v>17</v>
      </c>
      <c r="D37" s="172">
        <f t="shared" si="15"/>
        <v>0</v>
      </c>
      <c r="E37" s="244">
        <f t="shared" si="11"/>
        <v>0</v>
      </c>
      <c r="F37" s="245"/>
      <c r="G37" s="252" t="e">
        <f t="shared" ref="G37:G43" si="17">VLOOKUP(F37,$AN$59:$AO$70,2,0)</f>
        <v>#N/A</v>
      </c>
      <c r="H37" s="253">
        <f t="shared" si="16"/>
        <v>11.376923076923076</v>
      </c>
      <c r="I37" s="251">
        <f t="shared" si="14"/>
        <v>11.376923076923076</v>
      </c>
      <c r="J37" s="248">
        <f>+'Sprint1 '!G39</f>
        <v>11.376923076923076</v>
      </c>
      <c r="K37" s="248">
        <f>+'Sprint1 '!H39</f>
        <v>11.376923076923076</v>
      </c>
      <c r="L37" s="248">
        <f>+'Sprint1 '!I39</f>
        <v>11.376923076923076</v>
      </c>
      <c r="M37" s="248">
        <f>+'Sprint1 '!J39</f>
        <v>11.376923076923076</v>
      </c>
      <c r="N37" s="248">
        <f>+'Sprint1 '!K39</f>
        <v>0</v>
      </c>
      <c r="O37" s="248">
        <f>+'Sprint1 '!L39</f>
        <v>0</v>
      </c>
      <c r="P37" s="248">
        <f>+'Sprint1 '!M39</f>
        <v>0</v>
      </c>
      <c r="Q37" s="248">
        <f>+'Sprint1 '!N39</f>
        <v>0</v>
      </c>
      <c r="R37" s="248">
        <f>+'Sprint1 '!O39</f>
        <v>0</v>
      </c>
      <c r="S37" s="248">
        <f>+'Sprint1 '!P39</f>
        <v>0</v>
      </c>
      <c r="T37" s="248">
        <f>+'Sprint1 '!Q39</f>
        <v>0</v>
      </c>
      <c r="U37" s="248">
        <f>+'Sprint1 '!R39</f>
        <v>0</v>
      </c>
      <c r="V37" s="248">
        <f>+'Sprint1 '!S39</f>
        <v>0</v>
      </c>
      <c r="W37" s="248">
        <f>+'Sprint1 '!T39</f>
        <v>0</v>
      </c>
      <c r="X37" s="248">
        <f>+'Sprint1 '!U39</f>
        <v>0</v>
      </c>
      <c r="Y37" s="248">
        <f>+'Sprint1 '!V39</f>
        <v>0</v>
      </c>
      <c r="Z37" s="249">
        <f>+'Sprint1 '!W39</f>
        <v>0</v>
      </c>
      <c r="AA37" s="249">
        <f>+'Sprint1 '!X39</f>
        <v>0</v>
      </c>
      <c r="AB37" s="249">
        <f>+'Sprint1 '!Y39</f>
        <v>0</v>
      </c>
      <c r="AC37" s="249">
        <f>+'Sprint1 '!Z39</f>
        <v>0</v>
      </c>
    </row>
    <row r="38" spans="1:29" s="65" customFormat="1" ht="13.5" thickBot="1">
      <c r="A38" s="284" t="s">
        <v>190</v>
      </c>
      <c r="B38" s="255">
        <v>20.478461538461534</v>
      </c>
      <c r="C38" s="185" t="s">
        <v>17</v>
      </c>
      <c r="D38" s="172">
        <f t="shared" si="15"/>
        <v>0</v>
      </c>
      <c r="E38" s="244">
        <f t="shared" si="11"/>
        <v>10</v>
      </c>
      <c r="F38" s="245"/>
      <c r="G38" s="252" t="e">
        <f t="shared" si="17"/>
        <v>#N/A</v>
      </c>
      <c r="H38" s="253">
        <f t="shared" si="16"/>
        <v>20.478461538461534</v>
      </c>
      <c r="I38" s="251">
        <f t="shared" si="14"/>
        <v>20.478461538461534</v>
      </c>
      <c r="J38" s="248">
        <f>+'Sprint1 '!G40</f>
        <v>20.478461538461534</v>
      </c>
      <c r="K38" s="248">
        <f>+'Sprint1 '!H40</f>
        <v>20</v>
      </c>
      <c r="L38" s="248">
        <f>+'Sprint1 '!I40</f>
        <v>20</v>
      </c>
      <c r="M38" s="248">
        <f>+'Sprint1 '!J40</f>
        <v>20</v>
      </c>
      <c r="N38" s="248">
        <f>+'Sprint1 '!K40</f>
        <v>5</v>
      </c>
      <c r="O38" s="248">
        <f>+'Sprint1 '!L40</f>
        <v>10</v>
      </c>
      <c r="P38" s="248">
        <f>+'Sprint1 '!M40</f>
        <v>10</v>
      </c>
      <c r="Q38" s="248">
        <f>+'Sprint1 '!N40</f>
        <v>10</v>
      </c>
      <c r="R38" s="248">
        <f>+'Sprint1 '!O40</f>
        <v>10</v>
      </c>
      <c r="S38" s="248">
        <f>+'Sprint1 '!P40</f>
        <v>10</v>
      </c>
      <c r="T38" s="248">
        <f>+'Sprint1 '!Q40</f>
        <v>10</v>
      </c>
      <c r="U38" s="248">
        <f>+'Sprint1 '!R40</f>
        <v>10</v>
      </c>
      <c r="V38" s="248">
        <f>+'Sprint1 '!S40</f>
        <v>10</v>
      </c>
      <c r="W38" s="248">
        <f>+'Sprint1 '!T40</f>
        <v>10</v>
      </c>
      <c r="X38" s="248">
        <f>+'Sprint1 '!U40</f>
        <v>10</v>
      </c>
      <c r="Y38" s="248">
        <f>+'Sprint1 '!V40</f>
        <v>10</v>
      </c>
      <c r="Z38" s="249">
        <f>+'Sprint1 '!W40</f>
        <v>10</v>
      </c>
      <c r="AA38" s="249">
        <f>+'Sprint1 '!X40</f>
        <v>10</v>
      </c>
      <c r="AB38" s="249">
        <f>+'Sprint1 '!Y40</f>
        <v>10</v>
      </c>
      <c r="AC38" s="249">
        <f>+'Sprint1 '!Z40</f>
        <v>10</v>
      </c>
    </row>
    <row r="39" spans="1:29">
      <c r="A39" s="289" t="s">
        <v>191</v>
      </c>
      <c r="B39" s="255">
        <v>4.5507692307692302</v>
      </c>
      <c r="C39" s="185" t="s">
        <v>17</v>
      </c>
      <c r="D39" s="172">
        <f t="shared" si="15"/>
        <v>0</v>
      </c>
      <c r="E39" s="244">
        <f t="shared" si="11"/>
        <v>4.5507692307692302</v>
      </c>
      <c r="F39" s="245"/>
      <c r="G39" s="252" t="e">
        <f t="shared" si="17"/>
        <v>#N/A</v>
      </c>
      <c r="H39" s="253">
        <f t="shared" si="16"/>
        <v>4.5507692307692302</v>
      </c>
      <c r="I39" s="251">
        <f t="shared" si="14"/>
        <v>4.5507692307692302</v>
      </c>
      <c r="J39" s="248">
        <f>+'Sprint1 '!G41</f>
        <v>4.5507692307692302</v>
      </c>
      <c r="K39" s="248">
        <f>+'Sprint1 '!H41</f>
        <v>4.5507692307692302</v>
      </c>
      <c r="L39" s="248">
        <f>+'Sprint1 '!I41</f>
        <v>4.5507692307692302</v>
      </c>
      <c r="M39" s="248">
        <f>+'Sprint1 '!J41</f>
        <v>4.5507692307692302</v>
      </c>
      <c r="N39" s="248">
        <f>+'Sprint1 '!K41</f>
        <v>4.5507692307692302</v>
      </c>
      <c r="O39" s="248">
        <f>+'Sprint1 '!L41</f>
        <v>4.5507692307692302</v>
      </c>
      <c r="P39" s="248">
        <f>+'Sprint1 '!M41</f>
        <v>4.5507692307692302</v>
      </c>
      <c r="Q39" s="248">
        <f>+'Sprint1 '!N41</f>
        <v>4.5507692307692302</v>
      </c>
      <c r="R39" s="248">
        <f>+'Sprint1 '!O41</f>
        <v>4.5507692307692302</v>
      </c>
      <c r="S39" s="248">
        <f>+'Sprint1 '!P41</f>
        <v>4.5507692307692302</v>
      </c>
      <c r="T39" s="248">
        <f>+'Sprint1 '!Q41</f>
        <v>4.5507692307692302</v>
      </c>
      <c r="U39" s="248">
        <f>+'Sprint1 '!R41</f>
        <v>4.5507692307692302</v>
      </c>
      <c r="V39" s="248">
        <f>+'Sprint1 '!S41</f>
        <v>4.5507692307692302</v>
      </c>
      <c r="W39" s="248">
        <f>+'Sprint1 '!T41</f>
        <v>4.5507692307692302</v>
      </c>
      <c r="X39" s="248">
        <f>+'Sprint1 '!U41</f>
        <v>4.5507692307692302</v>
      </c>
      <c r="Y39" s="248">
        <f>+'Sprint1 '!V41</f>
        <v>4.5507692307692302</v>
      </c>
      <c r="Z39" s="249">
        <f>+'Sprint1 '!W41</f>
        <v>4.5507692307692302</v>
      </c>
      <c r="AA39" s="249">
        <f>+'Sprint1 '!X41</f>
        <v>4.5507692307692302</v>
      </c>
      <c r="AB39" s="249">
        <f>+'Sprint1 '!Y41</f>
        <v>4.5507692307692302</v>
      </c>
      <c r="AC39" s="249">
        <f>+'Sprint1 '!Z41</f>
        <v>4.5507692307692302</v>
      </c>
    </row>
    <row r="40" spans="1:29">
      <c r="A40" s="289" t="s">
        <v>192</v>
      </c>
      <c r="B40" s="255">
        <v>4.5507692307692302</v>
      </c>
      <c r="C40" s="185" t="s">
        <v>17</v>
      </c>
      <c r="D40" s="172">
        <f t="shared" si="15"/>
        <v>0</v>
      </c>
      <c r="E40" s="244">
        <f t="shared" si="11"/>
        <v>0</v>
      </c>
      <c r="F40" s="245"/>
      <c r="G40" s="252" t="e">
        <f t="shared" si="17"/>
        <v>#N/A</v>
      </c>
      <c r="H40" s="253">
        <f t="shared" si="16"/>
        <v>4.5507692307692302</v>
      </c>
      <c r="I40" s="251">
        <f t="shared" si="14"/>
        <v>4.5507692307692302</v>
      </c>
      <c r="J40" s="248">
        <f>+'Sprint1 '!G42</f>
        <v>4.5507692307692302</v>
      </c>
      <c r="K40" s="248">
        <f>+'Sprint1 '!H42</f>
        <v>4.5507692307692302</v>
      </c>
      <c r="L40" s="248">
        <f>+'Sprint1 '!I42</f>
        <v>4.5507692307692302</v>
      </c>
      <c r="M40" s="248">
        <f>+'Sprint1 '!J42</f>
        <v>4.5507692307692302</v>
      </c>
      <c r="N40" s="248">
        <f>+'Sprint1 '!K42</f>
        <v>4.5507692307692302</v>
      </c>
      <c r="O40" s="248">
        <f>+'Sprint1 '!L42</f>
        <v>0</v>
      </c>
      <c r="P40" s="248">
        <f>+'Sprint1 '!M42</f>
        <v>0</v>
      </c>
      <c r="Q40" s="248">
        <f>+'Sprint1 '!N42</f>
        <v>0</v>
      </c>
      <c r="R40" s="248">
        <f>+'Sprint1 '!O42</f>
        <v>0</v>
      </c>
      <c r="S40" s="248">
        <f>+'Sprint1 '!P42</f>
        <v>0</v>
      </c>
      <c r="T40" s="248">
        <f>+'Sprint1 '!Q42</f>
        <v>0</v>
      </c>
      <c r="U40" s="248">
        <f>+'Sprint1 '!R42</f>
        <v>0</v>
      </c>
      <c r="V40" s="248">
        <f>+'Sprint1 '!S42</f>
        <v>0</v>
      </c>
      <c r="W40" s="248">
        <f>+'Sprint1 '!T42</f>
        <v>0</v>
      </c>
      <c r="X40" s="248">
        <f>+'Sprint1 '!U42</f>
        <v>0</v>
      </c>
      <c r="Y40" s="248">
        <f>+'Sprint1 '!V42</f>
        <v>0</v>
      </c>
      <c r="Z40" s="249">
        <f>+'Sprint1 '!W42</f>
        <v>0</v>
      </c>
      <c r="AA40" s="249">
        <f>+'Sprint1 '!X42</f>
        <v>0</v>
      </c>
      <c r="AB40" s="249">
        <f>+'Sprint1 '!Y42</f>
        <v>0</v>
      </c>
      <c r="AC40" s="249">
        <f>+'Sprint1 '!Z42</f>
        <v>0</v>
      </c>
    </row>
    <row r="41" spans="1:29" ht="13.5" thickBot="1">
      <c r="A41" s="290" t="s">
        <v>193</v>
      </c>
      <c r="B41" s="255">
        <v>4.5507692307692302</v>
      </c>
      <c r="C41" s="185" t="s">
        <v>17</v>
      </c>
      <c r="D41" s="172">
        <f t="shared" si="15"/>
        <v>0</v>
      </c>
      <c r="E41" s="244">
        <f t="shared" si="11"/>
        <v>0</v>
      </c>
      <c r="F41" s="245"/>
      <c r="G41" s="252" t="e">
        <f t="shared" si="17"/>
        <v>#N/A</v>
      </c>
      <c r="H41" s="253">
        <f t="shared" si="16"/>
        <v>4.5507692307692302</v>
      </c>
      <c r="I41" s="251">
        <f t="shared" si="14"/>
        <v>4.5507692307692302</v>
      </c>
      <c r="J41" s="248">
        <f>+'Sprint1 '!G43</f>
        <v>4.5507692307692302</v>
      </c>
      <c r="K41" s="248">
        <f>+'Sprint1 '!H43</f>
        <v>4.5507692307692302</v>
      </c>
      <c r="L41" s="248">
        <f>+'Sprint1 '!I43</f>
        <v>4.5507692307692302</v>
      </c>
      <c r="M41" s="248">
        <f>+'Sprint1 '!J43</f>
        <v>4.5507692307692302</v>
      </c>
      <c r="N41" s="248">
        <f>+'Sprint1 '!K43</f>
        <v>4.5507692307692302</v>
      </c>
      <c r="O41" s="248">
        <f>+'Sprint1 '!L43</f>
        <v>0</v>
      </c>
      <c r="P41" s="248">
        <f>+'Sprint1 '!M43</f>
        <v>0</v>
      </c>
      <c r="Q41" s="248">
        <f>+'Sprint1 '!N43</f>
        <v>0</v>
      </c>
      <c r="R41" s="248">
        <f>+'Sprint1 '!O43</f>
        <v>0</v>
      </c>
      <c r="S41" s="248">
        <f>+'Sprint1 '!P43</f>
        <v>0</v>
      </c>
      <c r="T41" s="248">
        <f>+'Sprint1 '!Q43</f>
        <v>0</v>
      </c>
      <c r="U41" s="248">
        <f>+'Sprint1 '!R43</f>
        <v>0</v>
      </c>
      <c r="V41" s="248">
        <f>+'Sprint1 '!S43</f>
        <v>0</v>
      </c>
      <c r="W41" s="248">
        <f>+'Sprint1 '!T43</f>
        <v>0</v>
      </c>
      <c r="X41" s="248">
        <f>+'Sprint1 '!U43</f>
        <v>0</v>
      </c>
      <c r="Y41" s="248">
        <f>+'Sprint1 '!V43</f>
        <v>0</v>
      </c>
      <c r="Z41" s="249">
        <f>+'Sprint1 '!W43</f>
        <v>0</v>
      </c>
      <c r="AA41" s="249">
        <f>+'Sprint1 '!X43</f>
        <v>0</v>
      </c>
      <c r="AB41" s="249">
        <f>+'Sprint1 '!Y43</f>
        <v>0</v>
      </c>
      <c r="AC41" s="249">
        <f>+'Sprint1 '!Z43</f>
        <v>0</v>
      </c>
    </row>
    <row r="42" spans="1:29">
      <c r="A42" s="304" t="s">
        <v>195</v>
      </c>
      <c r="B42" s="255">
        <v>11.376923076923076</v>
      </c>
      <c r="C42" s="185" t="s">
        <v>17</v>
      </c>
      <c r="D42" s="172">
        <f t="shared" si="15"/>
        <v>0</v>
      </c>
      <c r="E42" s="244">
        <f t="shared" si="11"/>
        <v>11</v>
      </c>
      <c r="F42" s="245"/>
      <c r="G42" s="252" t="e">
        <f t="shared" si="17"/>
        <v>#N/A</v>
      </c>
      <c r="H42" s="253">
        <f t="shared" si="16"/>
        <v>11.376923076923076</v>
      </c>
      <c r="I42" s="251">
        <f t="shared" si="14"/>
        <v>11.376923076923076</v>
      </c>
      <c r="J42" s="248">
        <f>+'Sprint1 '!G44</f>
        <v>11.376923076923076</v>
      </c>
      <c r="K42" s="248">
        <f>+'Sprint1 '!H44</f>
        <v>11.376923076923076</v>
      </c>
      <c r="L42" s="248">
        <f>+'Sprint1 '!I44</f>
        <v>11.376923076923076</v>
      </c>
      <c r="M42" s="248">
        <f>+'Sprint1 '!J44</f>
        <v>11.376923076923076</v>
      </c>
      <c r="N42" s="248">
        <f>+'Sprint1 '!K44</f>
        <v>15</v>
      </c>
      <c r="O42" s="248">
        <f>+'Sprint1 '!L44</f>
        <v>11</v>
      </c>
      <c r="P42" s="248">
        <f>+'Sprint1 '!M44</f>
        <v>11</v>
      </c>
      <c r="Q42" s="248">
        <f>+'Sprint1 '!N44</f>
        <v>11</v>
      </c>
      <c r="R42" s="248">
        <f>+'Sprint1 '!O44</f>
        <v>11</v>
      </c>
      <c r="S42" s="248">
        <f>+'Sprint1 '!P44</f>
        <v>11</v>
      </c>
      <c r="T42" s="248">
        <f>+'Sprint1 '!Q44</f>
        <v>11</v>
      </c>
      <c r="U42" s="248">
        <f>+'Sprint1 '!R44</f>
        <v>11</v>
      </c>
      <c r="V42" s="248">
        <f>+'Sprint1 '!S44</f>
        <v>11</v>
      </c>
      <c r="W42" s="248">
        <f>+'Sprint1 '!T44</f>
        <v>11</v>
      </c>
      <c r="X42" s="248">
        <f>+'Sprint1 '!U44</f>
        <v>11</v>
      </c>
      <c r="Y42" s="248">
        <f>+'Sprint1 '!V44</f>
        <v>11</v>
      </c>
      <c r="Z42" s="249">
        <f>+'Sprint1 '!W44</f>
        <v>11</v>
      </c>
      <c r="AA42" s="249">
        <f>+'Sprint1 '!X44</f>
        <v>11</v>
      </c>
      <c r="AB42" s="249">
        <f>+'Sprint1 '!Y44</f>
        <v>11</v>
      </c>
      <c r="AC42" s="249">
        <f>+'Sprint1 '!Z44</f>
        <v>11</v>
      </c>
    </row>
    <row r="43" spans="1:29">
      <c r="A43" s="305" t="s">
        <v>196</v>
      </c>
      <c r="B43" s="255">
        <v>3.4130769230769227</v>
      </c>
      <c r="C43" s="185" t="s">
        <v>17</v>
      </c>
      <c r="D43" s="172">
        <f t="shared" si="15"/>
        <v>0</v>
      </c>
      <c r="E43" s="244">
        <f t="shared" si="11"/>
        <v>0</v>
      </c>
      <c r="F43" s="245"/>
      <c r="G43" s="252" t="e">
        <f t="shared" si="17"/>
        <v>#N/A</v>
      </c>
      <c r="H43" s="253">
        <f t="shared" si="16"/>
        <v>3.4130769230769227</v>
      </c>
      <c r="I43" s="251">
        <f t="shared" si="14"/>
        <v>3.4130769230769227</v>
      </c>
      <c r="J43" s="248">
        <f>+'Sprint1 '!G45</f>
        <v>3.4130769230769227</v>
      </c>
      <c r="K43" s="248">
        <f>+'Sprint1 '!H45</f>
        <v>3.4130769230769227</v>
      </c>
      <c r="L43" s="248">
        <f>+'Sprint1 '!I45</f>
        <v>3.4130769230769227</v>
      </c>
      <c r="M43" s="248">
        <f>+'Sprint1 '!J45</f>
        <v>3.4130769230769227</v>
      </c>
      <c r="N43" s="248">
        <f>+'Sprint1 '!K45</f>
        <v>3.4130769230769227</v>
      </c>
      <c r="O43" s="248">
        <f>+'Sprint1 '!L45</f>
        <v>0</v>
      </c>
      <c r="P43" s="248">
        <f>+'Sprint1 '!M45</f>
        <v>0</v>
      </c>
      <c r="Q43" s="248">
        <f>+'Sprint1 '!N45</f>
        <v>0</v>
      </c>
      <c r="R43" s="248">
        <f>+'Sprint1 '!O45</f>
        <v>0</v>
      </c>
      <c r="S43" s="248">
        <f>+'Sprint1 '!P45</f>
        <v>0</v>
      </c>
      <c r="T43" s="248">
        <f>+'Sprint1 '!Q45</f>
        <v>0</v>
      </c>
      <c r="U43" s="248">
        <f>+'Sprint1 '!R45</f>
        <v>0</v>
      </c>
      <c r="V43" s="248">
        <f>+'Sprint1 '!S45</f>
        <v>0</v>
      </c>
      <c r="W43" s="248">
        <f>+'Sprint1 '!T45</f>
        <v>0</v>
      </c>
      <c r="X43" s="248">
        <f>+'Sprint1 '!U45</f>
        <v>0</v>
      </c>
      <c r="Y43" s="248">
        <f>+'Sprint1 '!V45</f>
        <v>0</v>
      </c>
      <c r="Z43" s="249">
        <f>+'Sprint1 '!W45</f>
        <v>0</v>
      </c>
      <c r="AA43" s="249">
        <f>+'Sprint1 '!X45</f>
        <v>0</v>
      </c>
      <c r="AB43" s="249">
        <f>+'Sprint1 '!Y45</f>
        <v>0</v>
      </c>
      <c r="AC43" s="249">
        <f>+'Sprint1 '!Z45</f>
        <v>0</v>
      </c>
    </row>
    <row r="44" spans="1:29">
      <c r="A44" s="305" t="s">
        <v>156</v>
      </c>
      <c r="B44" s="255">
        <v>1.7065384615384613</v>
      </c>
      <c r="C44" s="185" t="s">
        <v>17</v>
      </c>
      <c r="D44" s="172">
        <f t="shared" si="15"/>
        <v>0</v>
      </c>
      <c r="E44" s="244">
        <f t="shared" si="11"/>
        <v>0</v>
      </c>
      <c r="F44" s="245"/>
      <c r="G44" s="245" t="e">
        <f t="shared" ref="G44:G51" si="18">VLOOKUP(F44,$AN$59:$AO$70,2,0)</f>
        <v>#N/A</v>
      </c>
      <c r="H44" s="253">
        <f t="shared" si="16"/>
        <v>1.7065384615384613</v>
      </c>
      <c r="I44" s="251">
        <f t="shared" si="14"/>
        <v>1.7065384615384613</v>
      </c>
      <c r="J44" s="248">
        <f>+'Sprint1 '!G46</f>
        <v>1.7065384615384613</v>
      </c>
      <c r="K44" s="248">
        <f>+'Sprint1 '!H46</f>
        <v>1.7065384615384613</v>
      </c>
      <c r="L44" s="248">
        <f>+'Sprint1 '!I46</f>
        <v>1.7065384615384613</v>
      </c>
      <c r="M44" s="248">
        <f>+'Sprint1 '!J46</f>
        <v>1.7065384615384613</v>
      </c>
      <c r="N44" s="248">
        <f>+'Sprint1 '!K46</f>
        <v>1.7065384615384613</v>
      </c>
      <c r="O44" s="248">
        <f>+'Sprint1 '!L46</f>
        <v>0</v>
      </c>
      <c r="P44" s="248">
        <f>+'Sprint1 '!M46</f>
        <v>0</v>
      </c>
      <c r="Q44" s="248">
        <f>+'Sprint1 '!N46</f>
        <v>0</v>
      </c>
      <c r="R44" s="248">
        <f>+'Sprint1 '!O46</f>
        <v>0</v>
      </c>
      <c r="S44" s="248">
        <f>+'Sprint1 '!P46</f>
        <v>0</v>
      </c>
      <c r="T44" s="248">
        <f>+'Sprint1 '!Q46</f>
        <v>0</v>
      </c>
      <c r="U44" s="248">
        <f>+'Sprint1 '!R46</f>
        <v>0</v>
      </c>
      <c r="V44" s="248">
        <f>+'Sprint1 '!S46</f>
        <v>0</v>
      </c>
      <c r="W44" s="248">
        <f>+'Sprint1 '!T46</f>
        <v>0</v>
      </c>
      <c r="X44" s="248">
        <f>+'Sprint1 '!U46</f>
        <v>0</v>
      </c>
      <c r="Y44" s="248">
        <f>+'Sprint1 '!V46</f>
        <v>0</v>
      </c>
      <c r="Z44" s="249">
        <f>+'Sprint1 '!W46</f>
        <v>0</v>
      </c>
      <c r="AA44" s="249">
        <f>+'Sprint1 '!X46</f>
        <v>0</v>
      </c>
      <c r="AB44" s="249">
        <f>+'Sprint1 '!Y46</f>
        <v>0</v>
      </c>
      <c r="AC44" s="249">
        <f>+'Sprint1 '!Z46</f>
        <v>0</v>
      </c>
    </row>
    <row r="45" spans="1:29">
      <c r="A45" s="305" t="s">
        <v>197</v>
      </c>
      <c r="B45" s="255">
        <v>20.478461538461534</v>
      </c>
      <c r="C45" s="185" t="s">
        <v>17</v>
      </c>
      <c r="D45" s="172">
        <f t="shared" si="15"/>
        <v>0</v>
      </c>
      <c r="E45" s="244">
        <f t="shared" si="11"/>
        <v>0</v>
      </c>
      <c r="F45" s="245"/>
      <c r="G45" s="245" t="e">
        <f t="shared" si="18"/>
        <v>#N/A</v>
      </c>
      <c r="H45" s="253">
        <f t="shared" si="16"/>
        <v>20.478461538461534</v>
      </c>
      <c r="I45" s="251">
        <f t="shared" si="14"/>
        <v>20.478461538461534</v>
      </c>
      <c r="J45" s="248">
        <f>+'Sprint1 '!G47</f>
        <v>20.478461538461534</v>
      </c>
      <c r="K45" s="248">
        <f>+'Sprint1 '!H47</f>
        <v>20.478461538461534</v>
      </c>
      <c r="L45" s="248">
        <f>+'Sprint1 '!I47</f>
        <v>20.478461538461534</v>
      </c>
      <c r="M45" s="248">
        <f>+'Sprint1 '!J47</f>
        <v>20.478461538461534</v>
      </c>
      <c r="N45" s="248">
        <f>+'Sprint1 '!K47</f>
        <v>20.478461538461534</v>
      </c>
      <c r="O45" s="248">
        <f>+'Sprint1 '!L47</f>
        <v>0</v>
      </c>
      <c r="P45" s="248">
        <f>+'Sprint1 '!M47</f>
        <v>0</v>
      </c>
      <c r="Q45" s="248">
        <f>+'Sprint1 '!N47</f>
        <v>0</v>
      </c>
      <c r="R45" s="248">
        <f>+'Sprint1 '!O47</f>
        <v>0</v>
      </c>
      <c r="S45" s="248">
        <f>+'Sprint1 '!P47</f>
        <v>0</v>
      </c>
      <c r="T45" s="248">
        <f>+'Sprint1 '!Q47</f>
        <v>0</v>
      </c>
      <c r="U45" s="248">
        <f>+'Sprint1 '!R47</f>
        <v>0</v>
      </c>
      <c r="V45" s="248">
        <f>+'Sprint1 '!S47</f>
        <v>0</v>
      </c>
      <c r="W45" s="248">
        <f>+'Sprint1 '!T47</f>
        <v>0</v>
      </c>
      <c r="X45" s="248">
        <f>+'Sprint1 '!U47</f>
        <v>0</v>
      </c>
      <c r="Y45" s="248">
        <f>+'Sprint1 '!V47</f>
        <v>0</v>
      </c>
      <c r="Z45" s="249">
        <f>+'Sprint1 '!W47</f>
        <v>0</v>
      </c>
      <c r="AA45" s="249">
        <f>+'Sprint1 '!X47</f>
        <v>0</v>
      </c>
      <c r="AB45" s="249">
        <f>+'Sprint1 '!Y47</f>
        <v>0</v>
      </c>
      <c r="AC45" s="249">
        <f>+'Sprint1 '!Z47</f>
        <v>0</v>
      </c>
    </row>
    <row r="46" spans="1:29" ht="13.5" thickBot="1">
      <c r="A46" s="305" t="s">
        <v>198</v>
      </c>
      <c r="B46" s="255">
        <v>4.5507692307692302</v>
      </c>
      <c r="C46" s="185" t="s">
        <v>17</v>
      </c>
      <c r="D46" s="172">
        <f t="shared" si="15"/>
        <v>0</v>
      </c>
      <c r="E46" s="244">
        <f t="shared" si="11"/>
        <v>0</v>
      </c>
      <c r="F46" s="245"/>
      <c r="G46" s="252" t="e">
        <f t="shared" si="18"/>
        <v>#N/A</v>
      </c>
      <c r="H46" s="253">
        <f t="shared" si="16"/>
        <v>4.5507692307692302</v>
      </c>
      <c r="I46" s="251">
        <f t="shared" si="14"/>
        <v>4.5507692307692302</v>
      </c>
      <c r="J46" s="248">
        <f>+'Sprint1 '!G48</f>
        <v>4.5507692307692302</v>
      </c>
      <c r="K46" s="248">
        <f>+'Sprint1 '!H48</f>
        <v>4.5507692307692302</v>
      </c>
      <c r="L46" s="248">
        <f>+'Sprint1 '!I48</f>
        <v>4.5507692307692302</v>
      </c>
      <c r="M46" s="248">
        <f>+'Sprint1 '!J48</f>
        <v>4.5507692307692302</v>
      </c>
      <c r="N46" s="248">
        <f>+'Sprint1 '!K48</f>
        <v>4.5507692307692302</v>
      </c>
      <c r="O46" s="248">
        <f>+'Sprint1 '!L48</f>
        <v>0</v>
      </c>
      <c r="P46" s="248">
        <f>+'Sprint1 '!M48</f>
        <v>0</v>
      </c>
      <c r="Q46" s="248">
        <f>+'Sprint1 '!N48</f>
        <v>0</v>
      </c>
      <c r="R46" s="248">
        <f>+'Sprint1 '!O48</f>
        <v>0</v>
      </c>
      <c r="S46" s="248">
        <f>+'Sprint1 '!P48</f>
        <v>0</v>
      </c>
      <c r="T46" s="248">
        <f>+'Sprint1 '!Q48</f>
        <v>0</v>
      </c>
      <c r="U46" s="248">
        <f>+'Sprint1 '!R48</f>
        <v>0</v>
      </c>
      <c r="V46" s="248">
        <f>+'Sprint1 '!S48</f>
        <v>0</v>
      </c>
      <c r="W46" s="248">
        <f>+'Sprint1 '!T48</f>
        <v>0</v>
      </c>
      <c r="X46" s="248">
        <f>+'Sprint1 '!U48</f>
        <v>0</v>
      </c>
      <c r="Y46" s="248">
        <f>+'Sprint1 '!V48</f>
        <v>0</v>
      </c>
      <c r="Z46" s="249">
        <f>+'Sprint1 '!W48</f>
        <v>0</v>
      </c>
      <c r="AA46" s="249">
        <f>+'Sprint1 '!X48</f>
        <v>0</v>
      </c>
      <c r="AB46" s="249">
        <f>+'Sprint1 '!Y48</f>
        <v>0</v>
      </c>
      <c r="AC46" s="249">
        <f>+'Sprint1 '!Z48</f>
        <v>0</v>
      </c>
    </row>
    <row r="47" spans="1:29" s="65" customFormat="1" ht="13.5" thickBot="1">
      <c r="A47" s="258" t="s">
        <v>201</v>
      </c>
      <c r="B47" s="259">
        <v>10</v>
      </c>
      <c r="C47" s="185" t="s">
        <v>17</v>
      </c>
      <c r="D47" s="172">
        <f t="shared" si="15"/>
        <v>0</v>
      </c>
      <c r="E47" s="244">
        <f t="shared" si="11"/>
        <v>0</v>
      </c>
      <c r="F47" s="245"/>
      <c r="G47" s="252" t="e">
        <f t="shared" si="18"/>
        <v>#N/A</v>
      </c>
      <c r="H47" s="253">
        <f t="shared" si="16"/>
        <v>10</v>
      </c>
      <c r="I47" s="251">
        <f t="shared" si="14"/>
        <v>10</v>
      </c>
      <c r="J47" s="248">
        <f>+'Sprint1 '!G49</f>
        <v>10</v>
      </c>
      <c r="K47" s="248">
        <f>+'Sprint1 '!H49</f>
        <v>10</v>
      </c>
      <c r="L47" s="248">
        <f>+'Sprint1 '!I49</f>
        <v>10</v>
      </c>
      <c r="M47" s="248">
        <f>+'Sprint1 '!J49</f>
        <v>10</v>
      </c>
      <c r="N47" s="248">
        <f>+'Sprint1 '!K49</f>
        <v>10</v>
      </c>
      <c r="O47" s="248">
        <f>+'Sprint1 '!L49</f>
        <v>0</v>
      </c>
      <c r="P47" s="248">
        <f>+'Sprint1 '!M49</f>
        <v>0</v>
      </c>
      <c r="Q47" s="248">
        <f>+'Sprint1 '!N49</f>
        <v>0</v>
      </c>
      <c r="R47" s="248">
        <f>+'Sprint1 '!O49</f>
        <v>0</v>
      </c>
      <c r="S47" s="248">
        <f>+'Sprint1 '!P49</f>
        <v>0</v>
      </c>
      <c r="T47" s="248">
        <f>+'Sprint1 '!Q49</f>
        <v>0</v>
      </c>
      <c r="U47" s="248">
        <f>+'Sprint1 '!R49</f>
        <v>0</v>
      </c>
      <c r="V47" s="248">
        <f>+'Sprint1 '!S49</f>
        <v>0</v>
      </c>
      <c r="W47" s="248">
        <f>+'Sprint1 '!T49</f>
        <v>0</v>
      </c>
      <c r="X47" s="248">
        <f>+'Sprint1 '!U49</f>
        <v>0</v>
      </c>
      <c r="Y47" s="248">
        <f>+'Sprint1 '!V49</f>
        <v>0</v>
      </c>
      <c r="Z47" s="249">
        <f>+'Sprint1 '!W49</f>
        <v>0</v>
      </c>
      <c r="AA47" s="249">
        <f>+'Sprint1 '!X49</f>
        <v>0</v>
      </c>
      <c r="AB47" s="249">
        <f>+'Sprint1 '!Y49</f>
        <v>0</v>
      </c>
      <c r="AC47" s="249">
        <f>+'Sprint1 '!Z49</f>
        <v>0</v>
      </c>
    </row>
    <row r="48" spans="1:29">
      <c r="A48" s="260" t="s">
        <v>205</v>
      </c>
      <c r="B48" s="259">
        <v>3</v>
      </c>
      <c r="C48" s="185" t="s">
        <v>17</v>
      </c>
      <c r="D48" s="172">
        <f t="shared" si="15"/>
        <v>0</v>
      </c>
      <c r="E48" s="244">
        <f t="shared" si="11"/>
        <v>0</v>
      </c>
      <c r="F48" s="245"/>
      <c r="G48" s="252" t="e">
        <f t="shared" si="18"/>
        <v>#N/A</v>
      </c>
      <c r="H48" s="253">
        <f t="shared" si="16"/>
        <v>3</v>
      </c>
      <c r="I48" s="251">
        <f t="shared" si="14"/>
        <v>3</v>
      </c>
      <c r="J48" s="248">
        <f>+'Sprint1 '!G50</f>
        <v>3</v>
      </c>
      <c r="K48" s="248">
        <f>+'Sprint1 '!H50</f>
        <v>3</v>
      </c>
      <c r="L48" s="248">
        <f>+'Sprint1 '!I50</f>
        <v>3</v>
      </c>
      <c r="M48" s="248">
        <f>+'Sprint1 '!J50</f>
        <v>3</v>
      </c>
      <c r="N48" s="248">
        <f>+'Sprint1 '!K50</f>
        <v>3</v>
      </c>
      <c r="O48" s="248">
        <f>+'Sprint1 '!L50</f>
        <v>0</v>
      </c>
      <c r="P48" s="248">
        <f>+'Sprint1 '!M50</f>
        <v>0</v>
      </c>
      <c r="Q48" s="248">
        <f>+'Sprint1 '!N50</f>
        <v>0</v>
      </c>
      <c r="R48" s="248">
        <f>+'Sprint1 '!O50</f>
        <v>0</v>
      </c>
      <c r="S48" s="248">
        <f>+'Sprint1 '!P50</f>
        <v>0</v>
      </c>
      <c r="T48" s="248">
        <f>+'Sprint1 '!Q50</f>
        <v>0</v>
      </c>
      <c r="U48" s="248">
        <f>+'Sprint1 '!R50</f>
        <v>0</v>
      </c>
      <c r="V48" s="248">
        <f>+'Sprint1 '!S50</f>
        <v>0</v>
      </c>
      <c r="W48" s="248">
        <f>+'Sprint1 '!T50</f>
        <v>0</v>
      </c>
      <c r="X48" s="248">
        <f>+'Sprint1 '!U50</f>
        <v>0</v>
      </c>
      <c r="Y48" s="248">
        <f>+'Sprint1 '!V50</f>
        <v>0</v>
      </c>
      <c r="Z48" s="249">
        <f>+'Sprint1 '!W50</f>
        <v>0</v>
      </c>
      <c r="AA48" s="249">
        <f>+'Sprint1 '!X50</f>
        <v>0</v>
      </c>
      <c r="AB48" s="249">
        <f>+'Sprint1 '!Y50</f>
        <v>0</v>
      </c>
      <c r="AC48" s="249">
        <f>+'Sprint1 '!Z50</f>
        <v>0</v>
      </c>
    </row>
    <row r="49" spans="1:44">
      <c r="A49" s="262" t="s">
        <v>202</v>
      </c>
      <c r="B49" s="259">
        <v>5</v>
      </c>
      <c r="C49" s="185" t="s">
        <v>17</v>
      </c>
      <c r="D49" s="172">
        <f t="shared" si="15"/>
        <v>0</v>
      </c>
      <c r="E49" s="244">
        <f t="shared" si="11"/>
        <v>5</v>
      </c>
      <c r="F49" s="245"/>
      <c r="G49" s="252" t="e">
        <f t="shared" si="18"/>
        <v>#N/A</v>
      </c>
      <c r="H49" s="253">
        <f t="shared" si="16"/>
        <v>5</v>
      </c>
      <c r="I49" s="251">
        <f t="shared" si="14"/>
        <v>5</v>
      </c>
      <c r="J49" s="248">
        <f>+'Sprint1 '!G51</f>
        <v>5</v>
      </c>
      <c r="K49" s="248">
        <f>+'Sprint1 '!H51</f>
        <v>5</v>
      </c>
      <c r="L49" s="248">
        <f>+'Sprint1 '!I51</f>
        <v>5</v>
      </c>
      <c r="M49" s="248">
        <f>+'Sprint1 '!J51</f>
        <v>5</v>
      </c>
      <c r="N49" s="248">
        <f>+'Sprint1 '!K51</f>
        <v>5</v>
      </c>
      <c r="O49" s="248">
        <f>+'Sprint1 '!L51</f>
        <v>5</v>
      </c>
      <c r="P49" s="248">
        <f>+'Sprint1 '!M51</f>
        <v>5</v>
      </c>
      <c r="Q49" s="248">
        <f>+'Sprint1 '!N51</f>
        <v>5</v>
      </c>
      <c r="R49" s="248">
        <f>+'Sprint1 '!O51</f>
        <v>5</v>
      </c>
      <c r="S49" s="248">
        <f>+'Sprint1 '!P51</f>
        <v>5</v>
      </c>
      <c r="T49" s="248">
        <f>+'Sprint1 '!Q51</f>
        <v>5</v>
      </c>
      <c r="U49" s="248">
        <f>+'Sprint1 '!R51</f>
        <v>5</v>
      </c>
      <c r="V49" s="248">
        <f>+'Sprint1 '!S51</f>
        <v>5</v>
      </c>
      <c r="W49" s="248">
        <f>+'Sprint1 '!T51</f>
        <v>5</v>
      </c>
      <c r="X49" s="248">
        <f>+'Sprint1 '!U51</f>
        <v>5</v>
      </c>
      <c r="Y49" s="248">
        <f>+'Sprint1 '!V51</f>
        <v>5</v>
      </c>
      <c r="Z49" s="249">
        <f>+'Sprint1 '!W51</f>
        <v>5</v>
      </c>
      <c r="AA49" s="249">
        <f>+'Sprint1 '!X51</f>
        <v>5</v>
      </c>
      <c r="AB49" s="249">
        <f>+'Sprint1 '!Y51</f>
        <v>5</v>
      </c>
      <c r="AC49" s="249">
        <f>+'Sprint1 '!Z51</f>
        <v>5</v>
      </c>
    </row>
    <row r="50" spans="1:44">
      <c r="A50" s="262" t="s">
        <v>203</v>
      </c>
      <c r="B50" s="259">
        <v>6</v>
      </c>
      <c r="C50" s="185" t="s">
        <v>17</v>
      </c>
      <c r="D50" s="172">
        <f t="shared" si="15"/>
        <v>0</v>
      </c>
      <c r="E50" s="244">
        <f t="shared" si="11"/>
        <v>6</v>
      </c>
      <c r="F50" s="245"/>
      <c r="G50" s="254" t="e">
        <f t="shared" si="18"/>
        <v>#N/A</v>
      </c>
      <c r="H50" s="253">
        <f t="shared" si="16"/>
        <v>6</v>
      </c>
      <c r="I50" s="251">
        <f t="shared" si="14"/>
        <v>6</v>
      </c>
      <c r="J50" s="248">
        <f>+'Sprint1 '!G52</f>
        <v>6</v>
      </c>
      <c r="K50" s="248">
        <f>+'Sprint1 '!H52</f>
        <v>6</v>
      </c>
      <c r="L50" s="248">
        <f>+'Sprint1 '!I52</f>
        <v>6</v>
      </c>
      <c r="M50" s="248">
        <f>+'Sprint1 '!J52</f>
        <v>6</v>
      </c>
      <c r="N50" s="248">
        <f>+'Sprint1 '!K52</f>
        <v>6</v>
      </c>
      <c r="O50" s="248">
        <f>+'Sprint1 '!L52</f>
        <v>6</v>
      </c>
      <c r="P50" s="248">
        <f>+'Sprint1 '!M52</f>
        <v>6</v>
      </c>
      <c r="Q50" s="248">
        <f>+'Sprint1 '!N52</f>
        <v>6</v>
      </c>
      <c r="R50" s="248">
        <f>+'Sprint1 '!O52</f>
        <v>6</v>
      </c>
      <c r="S50" s="248">
        <f>+'Sprint1 '!P52</f>
        <v>6</v>
      </c>
      <c r="T50" s="248">
        <f>+'Sprint1 '!Q52</f>
        <v>6</v>
      </c>
      <c r="U50" s="248">
        <f>+'Sprint1 '!R52</f>
        <v>6</v>
      </c>
      <c r="V50" s="248">
        <f>+'Sprint1 '!S52</f>
        <v>6</v>
      </c>
      <c r="W50" s="248">
        <f>+'Sprint1 '!T52</f>
        <v>6</v>
      </c>
      <c r="X50" s="248">
        <f>+'Sprint1 '!U52</f>
        <v>6</v>
      </c>
      <c r="Y50" s="248">
        <f>+'Sprint1 '!V52</f>
        <v>6</v>
      </c>
      <c r="Z50" s="249">
        <f>+'Sprint1 '!W52</f>
        <v>6</v>
      </c>
      <c r="AA50" s="249">
        <f>+'Sprint1 '!X52</f>
        <v>6</v>
      </c>
      <c r="AB50" s="249">
        <f>+'Sprint1 '!Y52</f>
        <v>6</v>
      </c>
      <c r="AC50" s="249">
        <f>+'Sprint1 '!Z52</f>
        <v>6</v>
      </c>
    </row>
    <row r="51" spans="1:44">
      <c r="A51" s="261" t="s">
        <v>204</v>
      </c>
      <c r="B51" s="259">
        <v>60</v>
      </c>
      <c r="C51" s="185" t="s">
        <v>17</v>
      </c>
      <c r="D51" s="172">
        <f t="shared" si="15"/>
        <v>0</v>
      </c>
      <c r="E51" s="244">
        <f t="shared" si="11"/>
        <v>10</v>
      </c>
      <c r="F51" s="245"/>
      <c r="G51" s="254" t="e">
        <f t="shared" si="18"/>
        <v>#N/A</v>
      </c>
      <c r="H51" s="253">
        <f t="shared" si="16"/>
        <v>60</v>
      </c>
      <c r="I51" s="251">
        <f t="shared" si="14"/>
        <v>60</v>
      </c>
      <c r="J51" s="248">
        <f>+'Sprint1 '!G53</f>
        <v>60</v>
      </c>
      <c r="K51" s="248">
        <f>+'Sprint1 '!H53</f>
        <v>60</v>
      </c>
      <c r="L51" s="248">
        <f>+'Sprint1 '!I53</f>
        <v>60</v>
      </c>
      <c r="M51" s="248">
        <f>+'Sprint1 '!J53</f>
        <v>60</v>
      </c>
      <c r="N51" s="248">
        <f>+'Sprint1 '!K53</f>
        <v>60</v>
      </c>
      <c r="O51" s="248">
        <f>+'Sprint1 '!L53</f>
        <v>10</v>
      </c>
      <c r="P51" s="248">
        <f>+'Sprint1 '!M53</f>
        <v>10</v>
      </c>
      <c r="Q51" s="248">
        <f>+'Sprint1 '!N53</f>
        <v>10</v>
      </c>
      <c r="R51" s="248">
        <f>+'Sprint1 '!O53</f>
        <v>10</v>
      </c>
      <c r="S51" s="248">
        <f>+'Sprint1 '!P53</f>
        <v>10</v>
      </c>
      <c r="T51" s="248">
        <f>+'Sprint1 '!Q53</f>
        <v>10</v>
      </c>
      <c r="U51" s="248">
        <f>+'Sprint1 '!R53</f>
        <v>10</v>
      </c>
      <c r="V51" s="248">
        <f>+'Sprint1 '!S53</f>
        <v>10</v>
      </c>
      <c r="W51" s="248">
        <f>+'Sprint1 '!T53</f>
        <v>10</v>
      </c>
      <c r="X51" s="248">
        <f>+'Sprint1 '!U53</f>
        <v>10</v>
      </c>
      <c r="Y51" s="248">
        <f>+'Sprint1 '!V53</f>
        <v>10</v>
      </c>
      <c r="Z51" s="249">
        <f>+'Sprint1 '!W53</f>
        <v>10</v>
      </c>
      <c r="AA51" s="249">
        <f>+'Sprint1 '!X53</f>
        <v>10</v>
      </c>
      <c r="AB51" s="249">
        <f>+'Sprint1 '!Y53</f>
        <v>10</v>
      </c>
      <c r="AC51" s="249">
        <f>+'Sprint1 '!Z53</f>
        <v>10</v>
      </c>
    </row>
    <row r="52" spans="1:44" ht="13.5" thickBot="1">
      <c r="A52" s="256" t="s">
        <v>140</v>
      </c>
      <c r="B52" s="257">
        <v>20</v>
      </c>
      <c r="C52" s="185" t="s">
        <v>20</v>
      </c>
      <c r="D52" s="172">
        <f t="shared" si="15"/>
        <v>0.4</v>
      </c>
      <c r="E52" s="244">
        <f t="shared" si="11"/>
        <v>11</v>
      </c>
      <c r="F52" s="245"/>
      <c r="G52" s="254" t="e">
        <f t="shared" ref="G52:G55" si="19">VLOOKUP(F52,$AN$59:$AO$70,2,0)</f>
        <v>#N/A</v>
      </c>
      <c r="H52" s="253">
        <f t="shared" ref="H52:H55" si="20">+D52*B52+B52</f>
        <v>28</v>
      </c>
      <c r="I52" s="251">
        <f t="shared" ref="I52:I55" si="21">+H52</f>
        <v>28</v>
      </c>
      <c r="J52" s="248">
        <f>+'Sprint1 '!G54</f>
        <v>28</v>
      </c>
      <c r="K52" s="248">
        <f>+'Sprint1 '!H54</f>
        <v>28</v>
      </c>
      <c r="L52" s="248">
        <f>+'Sprint1 '!I54</f>
        <v>28</v>
      </c>
      <c r="M52" s="248">
        <f>+'Sprint1 '!J54</f>
        <v>28</v>
      </c>
      <c r="N52" s="248">
        <f>+'Sprint1 '!K54</f>
        <v>28</v>
      </c>
      <c r="O52" s="248">
        <f>+'Sprint1 '!L54</f>
        <v>11</v>
      </c>
      <c r="P52" s="248">
        <f>+'Sprint1 '!M54</f>
        <v>11</v>
      </c>
      <c r="Q52" s="248">
        <f>+'Sprint1 '!N54</f>
        <v>11</v>
      </c>
      <c r="R52" s="248">
        <f>+'Sprint1 '!O54</f>
        <v>11</v>
      </c>
      <c r="S52" s="248">
        <f>+'Sprint1 '!P54</f>
        <v>11</v>
      </c>
      <c r="T52" s="248">
        <f>+'Sprint1 '!Q54</f>
        <v>11</v>
      </c>
      <c r="U52" s="248">
        <f>+'Sprint1 '!R54</f>
        <v>11</v>
      </c>
      <c r="V52" s="248">
        <f>+'Sprint1 '!S54</f>
        <v>11</v>
      </c>
      <c r="W52" s="248">
        <f>+'Sprint1 '!T54</f>
        <v>11</v>
      </c>
      <c r="X52" s="248">
        <f>+'Sprint1 '!U54</f>
        <v>11</v>
      </c>
      <c r="Y52" s="248">
        <f>+'Sprint1 '!V54</f>
        <v>11</v>
      </c>
      <c r="Z52" s="249">
        <f>+'Sprint1 '!W54</f>
        <v>11</v>
      </c>
      <c r="AA52" s="249">
        <f>+'Sprint1 '!X54</f>
        <v>11</v>
      </c>
      <c r="AB52" s="249">
        <f>+'Sprint1 '!Y54</f>
        <v>11</v>
      </c>
      <c r="AC52" s="249">
        <f>+'Sprint1 '!Z54</f>
        <v>11</v>
      </c>
    </row>
    <row r="53" spans="1:44" ht="13.5" thickBot="1">
      <c r="A53" s="186" t="s">
        <v>137</v>
      </c>
      <c r="B53" s="187"/>
      <c r="C53" s="185" t="s">
        <v>17</v>
      </c>
      <c r="D53" s="172">
        <f t="shared" si="15"/>
        <v>0</v>
      </c>
      <c r="E53" s="244">
        <f t="shared" ref="E53:E55" si="22">+Z53</f>
        <v>0</v>
      </c>
      <c r="F53" s="245"/>
      <c r="G53" s="254" t="e">
        <f t="shared" si="19"/>
        <v>#N/A</v>
      </c>
      <c r="H53" s="253">
        <f t="shared" si="20"/>
        <v>0</v>
      </c>
      <c r="I53" s="251">
        <f t="shared" si="21"/>
        <v>0</v>
      </c>
      <c r="J53" s="248">
        <f>+'Sprint1 '!G55</f>
        <v>0</v>
      </c>
      <c r="K53" s="248">
        <f>+'Sprint1 '!H55</f>
        <v>0</v>
      </c>
      <c r="L53" s="248">
        <f>+'Sprint1 '!I55</f>
        <v>0</v>
      </c>
      <c r="M53" s="248">
        <f>+'Sprint1 '!J55</f>
        <v>0</v>
      </c>
      <c r="N53" s="248">
        <f>+'Sprint1 '!K55</f>
        <v>0</v>
      </c>
      <c r="O53" s="248">
        <f>+'Sprint1 '!L55</f>
        <v>0</v>
      </c>
      <c r="P53" s="248">
        <f>+'Sprint1 '!M55</f>
        <v>0</v>
      </c>
      <c r="Q53" s="248">
        <f>+'Sprint1 '!N55</f>
        <v>0</v>
      </c>
      <c r="R53" s="248">
        <f>+'Sprint1 '!O55</f>
        <v>0</v>
      </c>
      <c r="S53" s="248">
        <f>+'Sprint1 '!P55</f>
        <v>0</v>
      </c>
      <c r="T53" s="248">
        <f>+'Sprint1 '!Q55</f>
        <v>0</v>
      </c>
      <c r="U53" s="248">
        <f>+'Sprint1 '!R55</f>
        <v>0</v>
      </c>
      <c r="V53" s="248">
        <f>+'Sprint1 '!S55</f>
        <v>0</v>
      </c>
      <c r="W53" s="248">
        <f>+'Sprint1 '!T55</f>
        <v>0</v>
      </c>
      <c r="X53" s="248">
        <f>+'Sprint1 '!U55</f>
        <v>0</v>
      </c>
      <c r="Y53" s="248">
        <f>+'Sprint1 '!V55</f>
        <v>0</v>
      </c>
      <c r="Z53" s="248">
        <f>+'Sprint1 '!W55</f>
        <v>0</v>
      </c>
      <c r="AA53" s="248">
        <f>+'Sprint1 '!X55</f>
        <v>0</v>
      </c>
      <c r="AB53" s="248">
        <f>+'Sprint1 '!Y55</f>
        <v>0</v>
      </c>
      <c r="AC53" s="248">
        <f>+'Sprint1 '!Z55</f>
        <v>0</v>
      </c>
    </row>
    <row r="54" spans="1:44" ht="13.5" thickBot="1">
      <c r="A54" s="215" t="s">
        <v>206</v>
      </c>
      <c r="B54" s="216"/>
      <c r="C54" s="185" t="s">
        <v>17</v>
      </c>
      <c r="D54" s="172">
        <f t="shared" si="15"/>
        <v>0</v>
      </c>
      <c r="E54" s="244">
        <f t="shared" si="22"/>
        <v>0</v>
      </c>
      <c r="F54" s="245"/>
      <c r="G54" s="254" t="e">
        <f t="shared" si="19"/>
        <v>#N/A</v>
      </c>
      <c r="H54" s="253">
        <f t="shared" si="20"/>
        <v>0</v>
      </c>
      <c r="I54" s="251">
        <f t="shared" si="21"/>
        <v>0</v>
      </c>
      <c r="J54" s="248">
        <f>+'Sprint1 '!G56</f>
        <v>0</v>
      </c>
      <c r="K54" s="248">
        <f>+'Sprint1 '!H56</f>
        <v>0</v>
      </c>
      <c r="L54" s="248">
        <f>+'Sprint1 '!I56</f>
        <v>0</v>
      </c>
      <c r="M54" s="248">
        <f>+'Sprint1 '!J56</f>
        <v>0</v>
      </c>
      <c r="N54" s="248">
        <f>+'Sprint1 '!K56</f>
        <v>0</v>
      </c>
      <c r="O54" s="248">
        <f>+'Sprint1 '!L56</f>
        <v>0</v>
      </c>
      <c r="P54" s="248">
        <f>+'Sprint1 '!M56</f>
        <v>0</v>
      </c>
      <c r="Q54" s="248">
        <f>+'Sprint1 '!N56</f>
        <v>0</v>
      </c>
      <c r="R54" s="248">
        <f>+'Sprint1 '!O56</f>
        <v>0</v>
      </c>
      <c r="S54" s="248">
        <f>+'Sprint1 '!P56</f>
        <v>0</v>
      </c>
      <c r="T54" s="248">
        <f>+'Sprint1 '!Q56</f>
        <v>0</v>
      </c>
      <c r="U54" s="248">
        <f>+'Sprint1 '!R56</f>
        <v>0</v>
      </c>
      <c r="V54" s="248">
        <f>+'Sprint1 '!S56</f>
        <v>0</v>
      </c>
      <c r="W54" s="248">
        <f>+'Sprint1 '!T56</f>
        <v>0</v>
      </c>
      <c r="X54" s="248">
        <f>+'Sprint1 '!U56</f>
        <v>0</v>
      </c>
      <c r="Y54" s="248">
        <f>+'Sprint1 '!V56</f>
        <v>0</v>
      </c>
      <c r="Z54" s="248">
        <f>+'Sprint1 '!W56</f>
        <v>0</v>
      </c>
      <c r="AA54" s="248">
        <f>+'Sprint1 '!X56</f>
        <v>0</v>
      </c>
      <c r="AB54" s="248">
        <f>+'Sprint1 '!Y56</f>
        <v>0</v>
      </c>
      <c r="AC54" s="248">
        <f>+'Sprint1 '!Z56</f>
        <v>0</v>
      </c>
    </row>
    <row r="55" spans="1:44" ht="13.5" thickBot="1">
      <c r="A55" s="186" t="s">
        <v>136</v>
      </c>
      <c r="B55" s="187">
        <v>50</v>
      </c>
      <c r="C55" s="185" t="s">
        <v>17</v>
      </c>
      <c r="D55" s="172">
        <f t="shared" si="15"/>
        <v>0</v>
      </c>
      <c r="E55" s="244">
        <f t="shared" si="22"/>
        <v>20</v>
      </c>
      <c r="F55" s="245"/>
      <c r="G55" s="254" t="e">
        <f t="shared" si="19"/>
        <v>#N/A</v>
      </c>
      <c r="H55" s="253">
        <f t="shared" si="20"/>
        <v>50</v>
      </c>
      <c r="I55" s="251">
        <f t="shared" si="21"/>
        <v>50</v>
      </c>
      <c r="J55" s="248">
        <f>+'Sprint1 '!G57</f>
        <v>50</v>
      </c>
      <c r="K55" s="248">
        <f>+'Sprint1 '!H57</f>
        <v>50</v>
      </c>
      <c r="L55" s="248">
        <f>+'Sprint1 '!I57</f>
        <v>50</v>
      </c>
      <c r="M55" s="248">
        <f>+'Sprint1 '!J57</f>
        <v>50</v>
      </c>
      <c r="N55" s="248">
        <f>+'Sprint1 '!K57</f>
        <v>50</v>
      </c>
      <c r="O55" s="248">
        <f>+'Sprint1 '!L57</f>
        <v>20</v>
      </c>
      <c r="P55" s="248">
        <f>+'Sprint1 '!M57</f>
        <v>20</v>
      </c>
      <c r="Q55" s="248">
        <f>+'Sprint1 '!N57</f>
        <v>20</v>
      </c>
      <c r="R55" s="248">
        <f>+'Sprint1 '!O57</f>
        <v>20</v>
      </c>
      <c r="S55" s="248">
        <f>+'Sprint1 '!P57</f>
        <v>20</v>
      </c>
      <c r="T55" s="248">
        <f>+'Sprint1 '!Q57</f>
        <v>20</v>
      </c>
      <c r="U55" s="248">
        <f>+'Sprint1 '!R57</f>
        <v>20</v>
      </c>
      <c r="V55" s="248">
        <f>+'Sprint1 '!S57</f>
        <v>20</v>
      </c>
      <c r="W55" s="248">
        <f>+'Sprint1 '!T57</f>
        <v>20</v>
      </c>
      <c r="X55" s="248">
        <f>+'Sprint1 '!U57</f>
        <v>20</v>
      </c>
      <c r="Y55" s="248">
        <f>+'Sprint1 '!V57</f>
        <v>20</v>
      </c>
      <c r="Z55" s="248">
        <f>+'Sprint1 '!W57</f>
        <v>20</v>
      </c>
      <c r="AA55" s="248">
        <f>+'Sprint1 '!X57</f>
        <v>20</v>
      </c>
      <c r="AB55" s="248">
        <f>+'Sprint1 '!Y57</f>
        <v>20</v>
      </c>
      <c r="AC55" s="248">
        <f>+'Sprint1 '!Z57</f>
        <v>20</v>
      </c>
    </row>
    <row r="56" spans="1:44">
      <c r="A56" s="188" t="s">
        <v>138</v>
      </c>
    </row>
    <row r="57" spans="1:44">
      <c r="A57" s="188" t="s">
        <v>137</v>
      </c>
    </row>
    <row r="58" spans="1:44">
      <c r="A58" s="188"/>
      <c r="AN58" s="561" t="s">
        <v>47</v>
      </c>
      <c r="AO58" s="561"/>
      <c r="AQ58" s="561" t="s">
        <v>16</v>
      </c>
      <c r="AR58" s="561"/>
    </row>
    <row r="59" spans="1:44">
      <c r="A59" s="188" t="s">
        <v>137</v>
      </c>
      <c r="AN59" t="s">
        <v>52</v>
      </c>
      <c r="AO59">
        <v>100</v>
      </c>
      <c r="AQ59" t="s">
        <v>17</v>
      </c>
      <c r="AR59">
        <v>0</v>
      </c>
    </row>
    <row r="60" spans="1:44">
      <c r="A60" s="188" t="s">
        <v>139</v>
      </c>
      <c r="AN60" t="s">
        <v>48</v>
      </c>
      <c r="AO60">
        <v>200</v>
      </c>
      <c r="AQ60" t="s">
        <v>18</v>
      </c>
      <c r="AR60">
        <v>0.1</v>
      </c>
    </row>
    <row r="61" spans="1:44">
      <c r="A61" s="188" t="s">
        <v>137</v>
      </c>
      <c r="AN61" t="s">
        <v>49</v>
      </c>
      <c r="AO61">
        <v>300</v>
      </c>
      <c r="AQ61" t="s">
        <v>19</v>
      </c>
      <c r="AR61">
        <v>0.2</v>
      </c>
    </row>
    <row r="62" spans="1:44">
      <c r="AN62" t="s">
        <v>50</v>
      </c>
      <c r="AO62">
        <v>400</v>
      </c>
      <c r="AQ62" t="s">
        <v>20</v>
      </c>
      <c r="AR62">
        <v>0.4</v>
      </c>
    </row>
    <row r="63" spans="1:44">
      <c r="AN63" t="s">
        <v>51</v>
      </c>
      <c r="AO63">
        <v>500</v>
      </c>
      <c r="AQ63" t="s">
        <v>21</v>
      </c>
      <c r="AR63">
        <v>0.6</v>
      </c>
    </row>
  </sheetData>
  <customSheetViews>
    <customSheetView guid="{E581961F-3841-49B1-99AD-716C95AC511A}" scale="90" fitToPage="1" hiddenRows="1" hiddenColumns="1" showRuler="0">
      <selection activeCell="A17" sqref="A17:A27"/>
      <pageMargins left="0.75" right="0.75" top="1" bottom="1" header="0" footer="0"/>
      <pageSetup scale="29" orientation="landscape" horizontalDpi="0" verticalDpi="0" r:id="rId1"/>
      <headerFooter alignWithMargins="0"/>
    </customSheetView>
  </customSheetViews>
  <mergeCells count="12">
    <mergeCell ref="I13:K13"/>
    <mergeCell ref="AQ58:AR58"/>
    <mergeCell ref="AN58:AO58"/>
    <mergeCell ref="A6:F6"/>
    <mergeCell ref="E2:F2"/>
    <mergeCell ref="A2:B5"/>
    <mergeCell ref="C2:D2"/>
    <mergeCell ref="C3:D3"/>
    <mergeCell ref="C4:D4"/>
    <mergeCell ref="C5:D5"/>
    <mergeCell ref="E3:F3"/>
    <mergeCell ref="E4:F5"/>
  </mergeCells>
  <phoneticPr fontId="4" type="noConversion"/>
  <conditionalFormatting sqref="I15:AC15">
    <cfRule type="cellIs" dxfId="12" priority="2" stopIfTrue="1" operator="lessThanOrEqual">
      <formula>$I$9</formula>
    </cfRule>
  </conditionalFormatting>
  <dataValidations count="3">
    <dataValidation type="list" allowBlank="1" showInputMessage="1" showErrorMessage="1" sqref="C19:C24">
      <formula1>$AQ$59:$AQ$63</formula1>
    </dataValidation>
    <dataValidation type="list" allowBlank="1" showInputMessage="1" showErrorMessage="1" sqref="F19:F55">
      <formula1>$AN$59:$AN$63</formula1>
    </dataValidation>
    <dataValidation type="list" allowBlank="1" showInputMessage="1" showErrorMessage="1" promptTitle="Riego?" sqref="C25:C55">
      <formula1>$AQ$59:$AQ$63</formula1>
    </dataValidation>
  </dataValidations>
  <pageMargins left="0.75" right="0.75" top="1" bottom="1" header="0" footer="0"/>
  <pageSetup scale="27" orientation="landscape" horizontalDpi="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4">
    <pageSetUpPr fitToPage="1"/>
  </sheetPr>
  <dimension ref="A1:EQ96"/>
  <sheetViews>
    <sheetView topLeftCell="AE44" zoomScaleNormal="100" workbookViewId="0">
      <selection activeCell="AH81" sqref="AH81"/>
    </sheetView>
  </sheetViews>
  <sheetFormatPr defaultColWidth="11.42578125" defaultRowHeight="12.75"/>
  <cols>
    <col min="1" max="1" width="49.5703125" customWidth="1"/>
    <col min="2" max="2" width="15.7109375" customWidth="1"/>
    <col min="3" max="3" width="11.85546875" customWidth="1"/>
    <col min="4" max="4" width="11.7109375" customWidth="1"/>
    <col min="5" max="5" width="16.7109375" customWidth="1"/>
    <col min="6" max="6" width="11.7109375" customWidth="1"/>
    <col min="7" max="7" width="9.42578125" customWidth="1"/>
    <col min="8" max="8" width="7.140625" customWidth="1"/>
    <col min="9" max="9" width="8.5703125" customWidth="1"/>
    <col min="10" max="11" width="8.85546875" bestFit="1" customWidth="1"/>
    <col min="12" max="23" width="7.7109375" customWidth="1"/>
    <col min="33" max="33" width="15.7109375" customWidth="1"/>
    <col min="37" max="37" width="19.28515625" customWidth="1"/>
    <col min="38" max="38" width="14" customWidth="1"/>
    <col min="39" max="39" width="19.7109375" customWidth="1"/>
  </cols>
  <sheetData>
    <row r="1" spans="1:76" ht="13.5" thickBot="1"/>
    <row r="2" spans="1:76" ht="15">
      <c r="A2" s="531"/>
      <c r="B2" s="532"/>
      <c r="C2" s="537"/>
      <c r="D2" s="538"/>
      <c r="E2" s="562" t="s">
        <v>87</v>
      </c>
      <c r="F2" s="563"/>
    </row>
    <row r="3" spans="1:76" ht="15.75" thickBot="1">
      <c r="A3" s="533"/>
      <c r="B3" s="534"/>
      <c r="C3" s="539" t="s">
        <v>91</v>
      </c>
      <c r="D3" s="540"/>
      <c r="E3" s="564" t="s">
        <v>92</v>
      </c>
      <c r="F3" s="565"/>
    </row>
    <row r="4" spans="1:76" ht="15" customHeight="1">
      <c r="A4" s="533"/>
      <c r="B4" s="534"/>
      <c r="C4" s="541"/>
      <c r="D4" s="542"/>
      <c r="E4" s="566" t="s">
        <v>88</v>
      </c>
      <c r="F4" s="567"/>
    </row>
    <row r="5" spans="1:76" ht="15" customHeight="1" thickBot="1">
      <c r="A5" s="535"/>
      <c r="B5" s="536"/>
      <c r="C5" s="543"/>
      <c r="D5" s="544"/>
      <c r="E5" s="568"/>
      <c r="F5" s="569"/>
    </row>
    <row r="6" spans="1:76" ht="15" customHeight="1" thickBot="1">
      <c r="A6" s="545" t="s">
        <v>89</v>
      </c>
      <c r="B6" s="546"/>
      <c r="C6" s="546"/>
      <c r="D6" s="546"/>
      <c r="E6" s="546"/>
      <c r="F6" s="547"/>
    </row>
    <row r="7" spans="1:76" ht="15" customHeight="1" thickBot="1">
      <c r="A7" s="151" t="s">
        <v>100</v>
      </c>
      <c r="B7" s="152"/>
      <c r="C7" s="150" t="s">
        <v>93</v>
      </c>
      <c r="D7" s="152"/>
      <c r="E7" s="150" t="s">
        <v>94</v>
      </c>
      <c r="F7" s="157"/>
    </row>
    <row r="8" spans="1:76" ht="20.25">
      <c r="A8" s="177" t="s">
        <v>59</v>
      </c>
      <c r="R8" s="120"/>
    </row>
    <row r="9" spans="1:76">
      <c r="B9" s="131" t="s">
        <v>84</v>
      </c>
      <c r="C9" s="133">
        <f ca="1">+'Resumen Sprints'!I9</f>
        <v>40072.48019224537</v>
      </c>
      <c r="D9" s="158"/>
      <c r="Q9" s="120"/>
      <c r="R9" s="120"/>
    </row>
    <row r="10" spans="1:76" ht="20.25">
      <c r="A10" s="7" t="s">
        <v>146</v>
      </c>
      <c r="Q10" s="120"/>
      <c r="R10" s="120"/>
    </row>
    <row r="11" spans="1:76">
      <c r="A11" t="s">
        <v>70</v>
      </c>
      <c r="Q11" s="120"/>
      <c r="R11" s="120"/>
    </row>
    <row r="12" spans="1:76">
      <c r="A12" t="s">
        <v>71</v>
      </c>
      <c r="Q12" s="120"/>
      <c r="R12" s="120"/>
    </row>
    <row r="13" spans="1:76">
      <c r="A13" t="s">
        <v>72</v>
      </c>
      <c r="Q13" s="120"/>
      <c r="R13" s="120"/>
    </row>
    <row r="14" spans="1:76"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76" ht="26.25">
      <c r="A15" s="22" t="s">
        <v>0</v>
      </c>
      <c r="B15" s="22" t="s">
        <v>35</v>
      </c>
      <c r="C15" s="22" t="s">
        <v>58</v>
      </c>
      <c r="D15" s="22" t="s">
        <v>30</v>
      </c>
      <c r="E15" s="21" t="s">
        <v>11</v>
      </c>
      <c r="F15" s="570" t="s">
        <v>4</v>
      </c>
      <c r="G15" s="570"/>
      <c r="H15" s="570"/>
      <c r="O15" t="s">
        <v>145</v>
      </c>
      <c r="Q15" s="120"/>
      <c r="R15" s="120"/>
      <c r="Y15" s="159" t="s">
        <v>99</v>
      </c>
      <c r="Z15" s="159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</row>
    <row r="16" spans="1:76">
      <c r="A16" s="212"/>
      <c r="B16" s="212"/>
      <c r="C16" s="212"/>
      <c r="D16" s="212"/>
      <c r="E16" s="111" t="s">
        <v>13</v>
      </c>
      <c r="F16" s="104">
        <f>+'Resumen Sprints'!I14</f>
        <v>1</v>
      </c>
      <c r="G16" s="104">
        <f>+'Resumen Sprints'!J14</f>
        <v>2</v>
      </c>
      <c r="H16" s="104">
        <f>+'Resumen Sprints'!K14</f>
        <v>3</v>
      </c>
      <c r="I16" s="183">
        <f>+'Resumen Sprints'!L14</f>
        <v>4</v>
      </c>
      <c r="J16" s="104">
        <f>+'Resumen Sprints'!M14</f>
        <v>5</v>
      </c>
      <c r="K16" s="104">
        <f>+'Resumen Sprints'!N14</f>
        <v>6</v>
      </c>
      <c r="L16" s="104">
        <f>+'Resumen Sprints'!O14</f>
        <v>7</v>
      </c>
      <c r="M16" s="104">
        <f>+'Resumen Sprints'!P14</f>
        <v>8</v>
      </c>
      <c r="N16" s="183">
        <f>+'Resumen Sprints'!Q14</f>
        <v>9</v>
      </c>
      <c r="O16" s="104">
        <f>+'Resumen Sprints'!R14</f>
        <v>10</v>
      </c>
      <c r="P16" s="104">
        <f>+'Resumen Sprints'!S14</f>
        <v>11</v>
      </c>
      <c r="Q16" s="104">
        <f>+'Resumen Sprints'!T14</f>
        <v>12</v>
      </c>
      <c r="R16" s="104">
        <f>+'Resumen Sprints'!U14</f>
        <v>13</v>
      </c>
      <c r="S16" s="23">
        <f>+'Resumen Sprints'!V14</f>
        <v>14</v>
      </c>
      <c r="T16" s="23">
        <f>+'Resumen Sprints'!W14</f>
        <v>15</v>
      </c>
      <c r="U16" s="23">
        <f>+'Resumen Sprints'!X14</f>
        <v>16</v>
      </c>
      <c r="V16" s="23">
        <f>+'Resumen Sprints'!Y14</f>
        <v>17</v>
      </c>
      <c r="W16" s="23">
        <f>+'Resumen Sprints'!Z14</f>
        <v>18</v>
      </c>
      <c r="X16" s="23">
        <f>+'Resumen Sprints'!AA14</f>
        <v>19</v>
      </c>
      <c r="Y16" s="23">
        <f>+'Resumen Sprints'!AB14</f>
        <v>20</v>
      </c>
      <c r="Z16" s="23">
        <f>+'Resumen Sprints'!AC14</f>
        <v>21</v>
      </c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</row>
    <row r="17" spans="1:76">
      <c r="A17" s="212"/>
      <c r="B17" s="212"/>
      <c r="C17" s="212"/>
      <c r="D17" s="212"/>
      <c r="E17" s="112" t="s">
        <v>14</v>
      </c>
      <c r="F17" s="8">
        <v>39919</v>
      </c>
      <c r="G17" s="8">
        <v>39920</v>
      </c>
      <c r="H17" s="8">
        <v>39921</v>
      </c>
      <c r="I17" s="8">
        <v>39922</v>
      </c>
      <c r="J17" s="8">
        <v>39923</v>
      </c>
      <c r="K17" s="8">
        <v>39924</v>
      </c>
      <c r="L17" s="8">
        <v>39925</v>
      </c>
      <c r="M17" s="8">
        <v>39926</v>
      </c>
      <c r="N17" s="8">
        <v>39927</v>
      </c>
      <c r="O17" s="8">
        <v>39928</v>
      </c>
      <c r="P17" s="8">
        <v>39929</v>
      </c>
      <c r="Q17" s="8">
        <v>39930</v>
      </c>
      <c r="R17" s="8">
        <v>39931</v>
      </c>
      <c r="S17" s="8">
        <v>39932</v>
      </c>
      <c r="T17" s="8">
        <v>39933</v>
      </c>
      <c r="U17" s="8">
        <v>39934</v>
      </c>
      <c r="V17" s="8">
        <v>39935</v>
      </c>
      <c r="W17" s="8">
        <v>39936</v>
      </c>
      <c r="X17" s="8">
        <v>39937</v>
      </c>
      <c r="Y17" s="8">
        <v>39938</v>
      </c>
      <c r="Z17" s="8">
        <v>39939</v>
      </c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</row>
    <row r="18" spans="1:76" ht="15" customHeight="1" thickBot="1">
      <c r="A18" s="212">
        <v>3</v>
      </c>
      <c r="B18" s="212"/>
      <c r="C18" s="212"/>
      <c r="D18" s="212"/>
      <c r="E18" s="135" t="s">
        <v>85</v>
      </c>
      <c r="F18" s="134">
        <f ca="1">IF(F19&gt;0,$F$19,0)</f>
        <v>323.43269230769226</v>
      </c>
      <c r="G18" s="134">
        <f t="shared" ref="G18:N18" ca="1" si="0">IF(G19&gt;0,$F$19,0)</f>
        <v>323.43269230769226</v>
      </c>
      <c r="H18" s="134">
        <f t="shared" ca="1" si="0"/>
        <v>323.43269230769226</v>
      </c>
      <c r="I18" s="134">
        <f t="shared" ca="1" si="0"/>
        <v>323.43269230769226</v>
      </c>
      <c r="J18" s="134">
        <f t="shared" ca="1" si="0"/>
        <v>323.43269230769226</v>
      </c>
      <c r="K18" s="134">
        <f t="shared" ca="1" si="0"/>
        <v>323.43269230769226</v>
      </c>
      <c r="L18" s="134">
        <f t="shared" ca="1" si="0"/>
        <v>323.43269230769226</v>
      </c>
      <c r="M18" s="134">
        <f t="shared" ca="1" si="0"/>
        <v>323.43269230769226</v>
      </c>
      <c r="N18" s="134">
        <f t="shared" ca="1" si="0"/>
        <v>323.43269230769226</v>
      </c>
      <c r="O18" s="134">
        <f t="shared" ref="O18:Z18" si="1">IF(O19&gt;0,$F$19,0)</f>
        <v>0</v>
      </c>
      <c r="P18" s="134">
        <f t="shared" si="1"/>
        <v>0</v>
      </c>
      <c r="Q18" s="134">
        <f t="shared" si="1"/>
        <v>0</v>
      </c>
      <c r="R18" s="134">
        <f t="shared" si="1"/>
        <v>0</v>
      </c>
      <c r="S18" s="134">
        <f t="shared" si="1"/>
        <v>0</v>
      </c>
      <c r="T18" s="134">
        <f t="shared" si="1"/>
        <v>0</v>
      </c>
      <c r="U18" s="134">
        <f t="shared" si="1"/>
        <v>0</v>
      </c>
      <c r="V18" s="134">
        <f t="shared" si="1"/>
        <v>0</v>
      </c>
      <c r="W18" s="134">
        <f t="shared" si="1"/>
        <v>0</v>
      </c>
      <c r="X18" s="134">
        <f t="shared" si="1"/>
        <v>0</v>
      </c>
      <c r="Y18" s="134">
        <f t="shared" si="1"/>
        <v>0</v>
      </c>
      <c r="Z18" s="134">
        <f t="shared" si="1"/>
        <v>0</v>
      </c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</row>
    <row r="19" spans="1:76" s="65" customFormat="1" ht="21.75" customHeight="1" thickBot="1">
      <c r="A19" s="212"/>
      <c r="B19" s="217"/>
      <c r="C19" s="212"/>
      <c r="D19" s="212"/>
      <c r="E19" s="113" t="s">
        <v>44</v>
      </c>
      <c r="F19" s="269">
        <f t="shared" ref="F19:N19" ca="1" si="2">IF(F17&lt;=TODAY(),F26,"")</f>
        <v>323.43269230769226</v>
      </c>
      <c r="G19" s="269">
        <f t="shared" ca="1" si="2"/>
        <v>318.88192307692304</v>
      </c>
      <c r="H19" s="269">
        <f t="shared" ca="1" si="2"/>
        <v>300.10576923076923</v>
      </c>
      <c r="I19" s="269">
        <f t="shared" ca="1" si="2"/>
        <v>273.10576923076923</v>
      </c>
      <c r="J19" s="269">
        <f t="shared" ca="1" si="2"/>
        <v>278.55500000000001</v>
      </c>
      <c r="K19" s="269">
        <f t="shared" ca="1" si="2"/>
        <v>248.80115384615385</v>
      </c>
      <c r="L19" s="269">
        <f t="shared" ca="1" si="2"/>
        <v>100.55076923076923</v>
      </c>
      <c r="M19" s="269">
        <f t="shared" ca="1" si="2"/>
        <v>100.55076923076923</v>
      </c>
      <c r="N19" s="269">
        <f t="shared" ca="1" si="2"/>
        <v>100.55076923076923</v>
      </c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</row>
    <row r="20" spans="1:76" s="65" customFormat="1" ht="21.75" customHeight="1" thickBot="1">
      <c r="A20" s="212"/>
      <c r="B20" s="217"/>
      <c r="C20" s="212"/>
      <c r="D20" s="212"/>
      <c r="E20" s="327" t="s">
        <v>221</v>
      </c>
      <c r="F20" s="330">
        <f>$D$22*Sheet2!$G$69/1000*1.3</f>
        <v>1.6430555555555555</v>
      </c>
      <c r="G20" s="329">
        <f>IF(F20+G23&gt;$F$20,$F$20,F20+G23)</f>
        <v>1.1261444444444437</v>
      </c>
      <c r="H20" s="329">
        <f t="shared" ref="H20:N20" si="3">IF(G20+H23&gt;$F$20,$F$20,G20+H23)</f>
        <v>0.45190833333333091</v>
      </c>
      <c r="I20" s="329">
        <f t="shared" si="3"/>
        <v>-0.17177222222222643</v>
      </c>
      <c r="J20" s="329">
        <f t="shared" si="3"/>
        <v>-1.5651416666666729</v>
      </c>
      <c r="K20" s="329">
        <f t="shared" si="3"/>
        <v>-2.838344444444453</v>
      </c>
      <c r="L20" s="329">
        <f t="shared" si="3"/>
        <v>-0.99605138888889977</v>
      </c>
      <c r="M20" s="329">
        <f t="shared" si="3"/>
        <v>0.21429722222220882</v>
      </c>
      <c r="N20" s="329">
        <f t="shared" si="3"/>
        <v>0.79270138888887276</v>
      </c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</row>
    <row r="21" spans="1:76" s="65" customFormat="1" ht="21.75" customHeight="1" thickBot="1">
      <c r="A21" s="212"/>
      <c r="B21" s="217"/>
      <c r="C21" s="326">
        <v>1</v>
      </c>
      <c r="D21" s="212"/>
      <c r="E21" s="327" t="s">
        <v>214</v>
      </c>
      <c r="F21" s="329">
        <f>+F26*Sheet2!$G$69/1000*1</f>
        <v>8.1756597222222211</v>
      </c>
      <c r="G21" s="329">
        <f>+F21-$C$25/1000</f>
        <v>7.5437152777777765</v>
      </c>
      <c r="H21" s="329">
        <f t="shared" ref="H21:Z21" si="4">+G21-$C$25/1000</f>
        <v>6.9117708333333319</v>
      </c>
      <c r="I21" s="329">
        <f t="shared" si="4"/>
        <v>6.2798263888888872</v>
      </c>
      <c r="J21" s="329">
        <f t="shared" si="4"/>
        <v>5.6478819444444426</v>
      </c>
      <c r="K21" s="329">
        <f t="shared" si="4"/>
        <v>5.0159374999999979</v>
      </c>
      <c r="L21" s="329">
        <f t="shared" si="4"/>
        <v>4.3839930555555533</v>
      </c>
      <c r="M21" s="329">
        <f t="shared" si="4"/>
        <v>3.7520486111111087</v>
      </c>
      <c r="N21" s="329">
        <f t="shared" si="4"/>
        <v>3.120104166666664</v>
      </c>
      <c r="O21" s="329">
        <f t="shared" si="4"/>
        <v>2.4881597222222194</v>
      </c>
      <c r="P21" s="329">
        <f t="shared" si="4"/>
        <v>1.856215277777775</v>
      </c>
      <c r="Q21" s="329">
        <f t="shared" si="4"/>
        <v>1.2242708333333305</v>
      </c>
      <c r="R21" s="329">
        <f t="shared" si="4"/>
        <v>0.59232638888888611</v>
      </c>
      <c r="S21" s="329">
        <f t="shared" si="4"/>
        <v>-3.9618055555558307E-2</v>
      </c>
      <c r="T21" s="329">
        <f t="shared" si="4"/>
        <v>-0.67156250000000273</v>
      </c>
      <c r="U21" s="329">
        <f t="shared" si="4"/>
        <v>-1.3035069444444471</v>
      </c>
      <c r="V21" s="329">
        <f t="shared" si="4"/>
        <v>-1.9354513888888916</v>
      </c>
      <c r="W21" s="329">
        <f t="shared" si="4"/>
        <v>-2.567395833333336</v>
      </c>
      <c r="X21" s="329">
        <f t="shared" si="4"/>
        <v>-3.1993402777777806</v>
      </c>
      <c r="Y21" s="329">
        <f t="shared" si="4"/>
        <v>-3.8312847222222253</v>
      </c>
      <c r="Z21" s="329">
        <f t="shared" si="4"/>
        <v>-4.4632291666666699</v>
      </c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</row>
    <row r="22" spans="1:76" s="65" customFormat="1" ht="21.75" customHeight="1" thickBot="1">
      <c r="A22" s="212"/>
      <c r="B22" s="217"/>
      <c r="C22" s="212"/>
      <c r="D22" s="331">
        <v>50</v>
      </c>
      <c r="E22" s="327" t="s">
        <v>217</v>
      </c>
      <c r="F22" s="329">
        <f>$D$22*Sheet2!$G$69/1000</f>
        <v>1.2638888888888888</v>
      </c>
      <c r="G22" s="329">
        <f>IF(F22+G23&gt;$F$22,$F$22,F22+G23)</f>
        <v>0.74697777777777707</v>
      </c>
      <c r="H22" s="329">
        <f t="shared" ref="H22:L22" si="5">IF(G22+H23&gt;$F$22,$F$22,G22+H23)</f>
        <v>7.2741666666664262E-2</v>
      </c>
      <c r="I22" s="329">
        <f t="shared" si="5"/>
        <v>-0.55093888888889309</v>
      </c>
      <c r="J22" s="329">
        <f t="shared" si="5"/>
        <v>-1.9443083333333395</v>
      </c>
      <c r="K22" s="329">
        <f t="shared" si="5"/>
        <v>-3.2175111111111199</v>
      </c>
      <c r="L22" s="329">
        <f t="shared" si="5"/>
        <v>-1.3752180555555666</v>
      </c>
      <c r="M22" s="329">
        <f t="shared" ref="M22" si="6">IF(L22+M23&gt;$F$22,$F$22,L22+M23)</f>
        <v>-0.16486944444445806</v>
      </c>
      <c r="N22" s="329">
        <f t="shared" ref="N22" si="7">IF(M22+N23&gt;$F$22,$F$22,M22+N23)</f>
        <v>0.41353472222220589</v>
      </c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</row>
    <row r="23" spans="1:76" s="324" customFormat="1" ht="21.75" customHeight="1" thickBot="1">
      <c r="A23" s="320"/>
      <c r="B23" s="321"/>
      <c r="C23" s="320"/>
      <c r="D23" s="320"/>
      <c r="E23" s="322" t="s">
        <v>215</v>
      </c>
      <c r="F23" s="323">
        <f>+F21-F24</f>
        <v>0</v>
      </c>
      <c r="G23" s="323">
        <f>+G21-G24</f>
        <v>-0.51691111111111177</v>
      </c>
      <c r="H23" s="323">
        <f t="shared" ref="H23:L23" si="8">+H21-H24</f>
        <v>-0.67423611111111281</v>
      </c>
      <c r="I23" s="323">
        <f t="shared" si="8"/>
        <v>-0.62368055555555735</v>
      </c>
      <c r="J23" s="323">
        <f t="shared" si="8"/>
        <v>-1.3933694444444464</v>
      </c>
      <c r="K23" s="323">
        <f t="shared" si="8"/>
        <v>-1.2732027777777803</v>
      </c>
      <c r="L23" s="323">
        <f t="shared" si="8"/>
        <v>1.8422930555555532</v>
      </c>
      <c r="M23" s="323">
        <f t="shared" ref="M23:N23" si="9">+M21-M24</f>
        <v>1.2103486111111086</v>
      </c>
      <c r="N23" s="323">
        <f t="shared" si="9"/>
        <v>0.57840416666666394</v>
      </c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B23" s="325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325"/>
      <c r="AU23" s="325"/>
      <c r="AV23" s="325"/>
      <c r="AW23" s="325"/>
      <c r="AX23" s="325"/>
      <c r="AY23" s="325"/>
      <c r="AZ23" s="325"/>
      <c r="BA23" s="325"/>
      <c r="BB23" s="325"/>
      <c r="BC23" s="325"/>
      <c r="BD23" s="325"/>
      <c r="BE23" s="325"/>
      <c r="BF23" s="325"/>
      <c r="BG23" s="325"/>
      <c r="BH23" s="325"/>
      <c r="BI23" s="325"/>
      <c r="BJ23" s="325"/>
      <c r="BK23" s="325"/>
      <c r="BL23" s="325"/>
      <c r="BM23" s="325"/>
      <c r="BN23" s="325"/>
      <c r="BO23" s="325"/>
      <c r="BP23" s="325"/>
      <c r="BQ23" s="325"/>
      <c r="BR23" s="325"/>
      <c r="BS23" s="325"/>
      <c r="BT23" s="325"/>
      <c r="BU23" s="325"/>
      <c r="BV23" s="325"/>
      <c r="BW23" s="325"/>
      <c r="BX23" s="325"/>
    </row>
    <row r="24" spans="1:76" s="65" customFormat="1" ht="21.75" customHeight="1" thickBot="1">
      <c r="A24" s="212"/>
      <c r="B24" s="217"/>
      <c r="C24" s="318"/>
      <c r="D24" s="212"/>
      <c r="E24" s="113" t="s">
        <v>220</v>
      </c>
      <c r="F24" s="318">
        <f>+F26*Sheet2!$G$69/1000* $C$21</f>
        <v>8.1756597222222211</v>
      </c>
      <c r="G24" s="318">
        <f>+G26*Sheet2!$G$69/1000* $C$21</f>
        <v>8.0606263888888883</v>
      </c>
      <c r="H24" s="318">
        <f>+H26*Sheet2!$G$69/1000* $C$21</f>
        <v>7.5860069444444447</v>
      </c>
      <c r="I24" s="318">
        <f>+I26*Sheet2!$G$69/1000* $C$21</f>
        <v>6.9035069444444446</v>
      </c>
      <c r="J24" s="318">
        <f>+J26*Sheet2!$G$69/1000* $C$21</f>
        <v>7.041251388888889</v>
      </c>
      <c r="K24" s="318">
        <f>+K26*Sheet2!$G$69/1000* $C$21</f>
        <v>6.2891402777777783</v>
      </c>
      <c r="L24" s="318">
        <f>+L26*Sheet2!$G$69/1000* $C$21</f>
        <v>2.5417000000000001</v>
      </c>
      <c r="M24" s="318">
        <f>+M26*Sheet2!$G$69/1000* $C$21</f>
        <v>2.5417000000000001</v>
      </c>
      <c r="N24" s="318">
        <f>+N26*Sheet2!$G$69/1000* $C$21</f>
        <v>2.5417000000000001</v>
      </c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</row>
    <row r="25" spans="1:76" s="65" customFormat="1" ht="13.5" thickBot="1">
      <c r="A25" s="212"/>
      <c r="B25" s="212"/>
      <c r="C25" s="318">
        <f>+C26*Sheet2!$G$69</f>
        <v>631.94444444444446</v>
      </c>
      <c r="D25" s="212"/>
      <c r="E25" s="114" t="s">
        <v>12</v>
      </c>
      <c r="F25" s="270">
        <f>+F26</f>
        <v>323.43269230769226</v>
      </c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>
        <v>0</v>
      </c>
      <c r="S25" s="270"/>
      <c r="T25" s="270"/>
      <c r="U25" s="270"/>
      <c r="V25" s="270"/>
      <c r="W25" s="270"/>
      <c r="X25" s="271"/>
      <c r="Y25" s="271"/>
      <c r="Z25" s="27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</row>
    <row r="26" spans="1:76" ht="13.5" thickBot="1">
      <c r="A26" s="210"/>
      <c r="B26" s="210"/>
      <c r="C26" s="211">
        <f>+AM81</f>
        <v>25</v>
      </c>
      <c r="D26" s="266">
        <f>SUM(D27:D62)</f>
        <v>100.55076923076923</v>
      </c>
      <c r="E26" s="103" t="s">
        <v>34</v>
      </c>
      <c r="F26" s="272">
        <f>SUM(F27:F62)</f>
        <v>323.43269230769226</v>
      </c>
      <c r="G26" s="272">
        <f>SUM(G27:G62)</f>
        <v>318.88192307692304</v>
      </c>
      <c r="H26" s="272">
        <f>SUM(H27:H62)</f>
        <v>300.10576923076923</v>
      </c>
      <c r="I26" s="272">
        <f t="shared" ref="I26:Z26" si="10">SUM(I27:I62)</f>
        <v>273.10576923076923</v>
      </c>
      <c r="J26" s="272">
        <f t="shared" si="10"/>
        <v>278.55500000000001</v>
      </c>
      <c r="K26" s="272">
        <f t="shared" si="10"/>
        <v>248.80115384615385</v>
      </c>
      <c r="L26" s="272">
        <f t="shared" si="10"/>
        <v>100.55076923076923</v>
      </c>
      <c r="M26" s="272">
        <f t="shared" si="10"/>
        <v>100.55076923076923</v>
      </c>
      <c r="N26" s="272">
        <f t="shared" si="10"/>
        <v>100.55076923076923</v>
      </c>
      <c r="O26" s="272">
        <f t="shared" si="10"/>
        <v>100.55076923076923</v>
      </c>
      <c r="P26" s="272">
        <f t="shared" si="10"/>
        <v>100.55076923076923</v>
      </c>
      <c r="Q26" s="272">
        <f t="shared" si="10"/>
        <v>100.55076923076923</v>
      </c>
      <c r="R26" s="272">
        <f t="shared" si="10"/>
        <v>100.55076923076923</v>
      </c>
      <c r="S26" s="272">
        <f t="shared" si="10"/>
        <v>100.55076923076923</v>
      </c>
      <c r="T26" s="272">
        <f t="shared" si="10"/>
        <v>100.55076923076923</v>
      </c>
      <c r="U26" s="272">
        <f t="shared" si="10"/>
        <v>100.55076923076923</v>
      </c>
      <c r="V26" s="272">
        <f t="shared" si="10"/>
        <v>100.55076923076923</v>
      </c>
      <c r="W26" s="272">
        <f t="shared" si="10"/>
        <v>100.55076923076923</v>
      </c>
      <c r="X26" s="272">
        <f t="shared" si="10"/>
        <v>100.55076923076923</v>
      </c>
      <c r="Y26" s="272">
        <f t="shared" si="10"/>
        <v>100.55076923076923</v>
      </c>
      <c r="Z26" s="272">
        <f t="shared" si="10"/>
        <v>100.55076923076923</v>
      </c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</row>
    <row r="27" spans="1:76" ht="13.5" thickBot="1">
      <c r="A27" s="283" t="str">
        <f>+'Resumen Sprints'!A25</f>
        <v>Expediente Personal Clínico Social</v>
      </c>
      <c r="B27" s="194" t="s">
        <v>116</v>
      </c>
      <c r="C27" s="218">
        <f t="shared" ref="C27:C53" si="11">VLOOKUP(B27,$AL$69:$AM$86,2,0)</f>
        <v>8</v>
      </c>
      <c r="D27" s="267">
        <f>+Z27</f>
        <v>0</v>
      </c>
      <c r="E27" s="137" t="s">
        <v>40</v>
      </c>
      <c r="F27" s="273">
        <f>+'Resumen Sprints'!I25</f>
        <v>4.5507692307692302</v>
      </c>
      <c r="G27" s="274">
        <v>0</v>
      </c>
      <c r="H27" s="274">
        <f t="shared" ref="H27" si="12">+G27</f>
        <v>0</v>
      </c>
      <c r="I27" s="274">
        <f t="shared" ref="I27" si="13">+H27</f>
        <v>0</v>
      </c>
      <c r="J27" s="274">
        <f t="shared" ref="J27" si="14">+I27</f>
        <v>0</v>
      </c>
      <c r="K27" s="274">
        <f t="shared" ref="K27" si="15">+J27</f>
        <v>0</v>
      </c>
      <c r="L27" s="274">
        <f t="shared" ref="L27" si="16">+K27</f>
        <v>0</v>
      </c>
      <c r="M27" s="274">
        <f t="shared" ref="M27" si="17">+L27</f>
        <v>0</v>
      </c>
      <c r="N27" s="274">
        <f t="shared" ref="N27" si="18">+M27</f>
        <v>0</v>
      </c>
      <c r="O27" s="274">
        <f t="shared" ref="O27" si="19">+N27</f>
        <v>0</v>
      </c>
      <c r="P27" s="274">
        <f t="shared" ref="P27" si="20">+O27</f>
        <v>0</v>
      </c>
      <c r="Q27" s="274">
        <f t="shared" ref="Q27" si="21">+P27</f>
        <v>0</v>
      </c>
      <c r="R27" s="274">
        <f t="shared" ref="R27" si="22">+Q27</f>
        <v>0</v>
      </c>
      <c r="S27" s="274">
        <f t="shared" ref="S27" si="23">+R27</f>
        <v>0</v>
      </c>
      <c r="T27" s="274">
        <f t="shared" ref="T27" si="24">+S27</f>
        <v>0</v>
      </c>
      <c r="U27" s="274">
        <f t="shared" ref="U27" si="25">+T27</f>
        <v>0</v>
      </c>
      <c r="V27" s="274">
        <f t="shared" ref="V27" si="26">+U27</f>
        <v>0</v>
      </c>
      <c r="W27" s="274">
        <f t="shared" ref="W27" si="27">+V27</f>
        <v>0</v>
      </c>
      <c r="X27" s="274">
        <f t="shared" ref="X27" si="28">+W27</f>
        <v>0</v>
      </c>
      <c r="Y27" s="274">
        <f t="shared" ref="Y27" si="29">+X27</f>
        <v>0</v>
      </c>
      <c r="Z27" s="274">
        <f t="shared" ref="Z27:Z45" si="30">+Y27</f>
        <v>0</v>
      </c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</row>
    <row r="28" spans="1:76" ht="13.5" thickBot="1">
      <c r="A28" s="283" t="str">
        <f>+'Resumen Sprints'!A26</f>
        <v xml:space="preserve">     Arbol de centros</v>
      </c>
      <c r="B28" s="194" t="s">
        <v>116</v>
      </c>
      <c r="C28" s="219">
        <f t="shared" si="11"/>
        <v>8</v>
      </c>
      <c r="D28" s="267">
        <f t="shared" ref="D28:D53" si="31">+Z28</f>
        <v>11</v>
      </c>
      <c r="E28" s="137" t="s">
        <v>40</v>
      </c>
      <c r="F28" s="273">
        <f>+'Resumen Sprints'!I26</f>
        <v>11.376923076923076</v>
      </c>
      <c r="G28" s="274">
        <f t="shared" ref="G28:G59" si="32">+F28</f>
        <v>11.376923076923076</v>
      </c>
      <c r="H28" s="274">
        <v>11</v>
      </c>
      <c r="I28" s="274">
        <f t="shared" ref="I28:I59" si="33">+H28</f>
        <v>11</v>
      </c>
      <c r="J28" s="274">
        <f t="shared" ref="J28:J59" si="34">+I28</f>
        <v>11</v>
      </c>
      <c r="K28" s="274">
        <f t="shared" ref="K28:K59" si="35">+J28</f>
        <v>11</v>
      </c>
      <c r="L28" s="274">
        <f t="shared" ref="L28:L59" si="36">+K28</f>
        <v>11</v>
      </c>
      <c r="M28" s="274">
        <f t="shared" ref="M28:M59" si="37">+L28</f>
        <v>11</v>
      </c>
      <c r="N28" s="274">
        <f t="shared" ref="N28:N59" si="38">+M28</f>
        <v>11</v>
      </c>
      <c r="O28" s="274">
        <f t="shared" ref="O28:O59" si="39">+N28</f>
        <v>11</v>
      </c>
      <c r="P28" s="274">
        <f t="shared" ref="P28:P59" si="40">+O28</f>
        <v>11</v>
      </c>
      <c r="Q28" s="274">
        <f t="shared" ref="Q28:Q59" si="41">+P28</f>
        <v>11</v>
      </c>
      <c r="R28" s="274">
        <f t="shared" ref="R28:R59" si="42">+Q28</f>
        <v>11</v>
      </c>
      <c r="S28" s="274">
        <f t="shared" ref="S28:S59" si="43">+R28</f>
        <v>11</v>
      </c>
      <c r="T28" s="274">
        <f t="shared" ref="T28:T59" si="44">+S28</f>
        <v>11</v>
      </c>
      <c r="U28" s="274">
        <f t="shared" ref="U28:U59" si="45">+T28</f>
        <v>11</v>
      </c>
      <c r="V28" s="274">
        <f t="shared" ref="V28:V59" si="46">+U28</f>
        <v>11</v>
      </c>
      <c r="W28" s="274">
        <f t="shared" ref="W28:W59" si="47">+V28</f>
        <v>11</v>
      </c>
      <c r="X28" s="274">
        <f t="shared" ref="X28:X59" si="48">+W28</f>
        <v>11</v>
      </c>
      <c r="Y28" s="274">
        <f t="shared" ref="Y28:Y59" si="49">+X28</f>
        <v>11</v>
      </c>
      <c r="Z28" s="274">
        <f t="shared" si="30"/>
        <v>11</v>
      </c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</row>
    <row r="29" spans="1:76" ht="13.5" thickBot="1">
      <c r="A29" s="283" t="str">
        <f>+'Resumen Sprints'!A27</f>
        <v xml:space="preserve">     Listado de residentes</v>
      </c>
      <c r="B29" s="194" t="s">
        <v>116</v>
      </c>
      <c r="C29" s="219">
        <f t="shared" si="11"/>
        <v>8</v>
      </c>
      <c r="D29" s="267">
        <f t="shared" si="31"/>
        <v>0</v>
      </c>
      <c r="E29" s="137" t="s">
        <v>40</v>
      </c>
      <c r="F29" s="273">
        <f>+'Resumen Sprints'!I27</f>
        <v>4.5507692307692302</v>
      </c>
      <c r="G29" s="274">
        <f t="shared" si="32"/>
        <v>4.5507692307692302</v>
      </c>
      <c r="H29" s="274">
        <v>0</v>
      </c>
      <c r="I29" s="274">
        <v>0</v>
      </c>
      <c r="J29" s="274">
        <f t="shared" si="34"/>
        <v>0</v>
      </c>
      <c r="K29" s="274">
        <f t="shared" si="35"/>
        <v>0</v>
      </c>
      <c r="L29" s="274">
        <f t="shared" si="36"/>
        <v>0</v>
      </c>
      <c r="M29" s="274">
        <f t="shared" si="37"/>
        <v>0</v>
      </c>
      <c r="N29" s="274">
        <f t="shared" si="38"/>
        <v>0</v>
      </c>
      <c r="O29" s="274">
        <f t="shared" si="39"/>
        <v>0</v>
      </c>
      <c r="P29" s="274">
        <f t="shared" si="40"/>
        <v>0</v>
      </c>
      <c r="Q29" s="274">
        <f t="shared" si="41"/>
        <v>0</v>
      </c>
      <c r="R29" s="274">
        <f t="shared" si="42"/>
        <v>0</v>
      </c>
      <c r="S29" s="274">
        <f t="shared" si="43"/>
        <v>0</v>
      </c>
      <c r="T29" s="274">
        <f t="shared" si="44"/>
        <v>0</v>
      </c>
      <c r="U29" s="274">
        <f t="shared" si="45"/>
        <v>0</v>
      </c>
      <c r="V29" s="274">
        <f t="shared" si="46"/>
        <v>0</v>
      </c>
      <c r="W29" s="274">
        <f t="shared" si="47"/>
        <v>0</v>
      </c>
      <c r="X29" s="274">
        <f t="shared" si="48"/>
        <v>0</v>
      </c>
      <c r="Y29" s="274">
        <f t="shared" si="49"/>
        <v>0</v>
      </c>
      <c r="Z29" s="274">
        <f t="shared" si="30"/>
        <v>0</v>
      </c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</row>
    <row r="30" spans="1:76" ht="13.5" thickBot="1">
      <c r="A30" s="283" t="str">
        <f>+'Resumen Sprints'!A28</f>
        <v xml:space="preserve">     Información general</v>
      </c>
      <c r="B30" s="194" t="s">
        <v>116</v>
      </c>
      <c r="C30" s="219">
        <f t="shared" si="11"/>
        <v>8</v>
      </c>
      <c r="D30" s="267">
        <f t="shared" si="31"/>
        <v>9</v>
      </c>
      <c r="E30" s="137" t="s">
        <v>40</v>
      </c>
      <c r="F30" s="273">
        <v>5</v>
      </c>
      <c r="G30" s="274">
        <f t="shared" si="32"/>
        <v>5</v>
      </c>
      <c r="H30" s="274">
        <v>9</v>
      </c>
      <c r="I30" s="274">
        <v>9</v>
      </c>
      <c r="J30" s="274">
        <f t="shared" si="34"/>
        <v>9</v>
      </c>
      <c r="K30" s="274">
        <f t="shared" si="35"/>
        <v>9</v>
      </c>
      <c r="L30" s="274">
        <f t="shared" si="36"/>
        <v>9</v>
      </c>
      <c r="M30" s="274">
        <f t="shared" si="37"/>
        <v>9</v>
      </c>
      <c r="N30" s="274">
        <f t="shared" si="38"/>
        <v>9</v>
      </c>
      <c r="O30" s="274">
        <f t="shared" si="39"/>
        <v>9</v>
      </c>
      <c r="P30" s="274">
        <f t="shared" si="40"/>
        <v>9</v>
      </c>
      <c r="Q30" s="274">
        <f t="shared" si="41"/>
        <v>9</v>
      </c>
      <c r="R30" s="274">
        <f t="shared" si="42"/>
        <v>9</v>
      </c>
      <c r="S30" s="274">
        <f t="shared" si="43"/>
        <v>9</v>
      </c>
      <c r="T30" s="274">
        <f t="shared" si="44"/>
        <v>9</v>
      </c>
      <c r="U30" s="274">
        <f t="shared" si="45"/>
        <v>9</v>
      </c>
      <c r="V30" s="274">
        <f t="shared" si="46"/>
        <v>9</v>
      </c>
      <c r="W30" s="274">
        <f t="shared" si="47"/>
        <v>9</v>
      </c>
      <c r="X30" s="274">
        <f t="shared" si="48"/>
        <v>9</v>
      </c>
      <c r="Y30" s="274">
        <f t="shared" si="49"/>
        <v>9</v>
      </c>
      <c r="Z30" s="274">
        <f t="shared" si="30"/>
        <v>9</v>
      </c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</row>
    <row r="31" spans="1:76" ht="13.5" thickBot="1">
      <c r="A31" s="283" t="str">
        <f>+'Resumen Sprints'!A29</f>
        <v xml:space="preserve">          Visión General</v>
      </c>
      <c r="B31" s="194" t="s">
        <v>116</v>
      </c>
      <c r="C31" s="219">
        <f t="shared" si="11"/>
        <v>8</v>
      </c>
      <c r="D31" s="267">
        <f t="shared" si="31"/>
        <v>3</v>
      </c>
      <c r="E31" s="137" t="s">
        <v>40</v>
      </c>
      <c r="F31" s="273">
        <f>+'Resumen Sprints'!I29</f>
        <v>11.376923076923076</v>
      </c>
      <c r="G31" s="274">
        <f t="shared" si="32"/>
        <v>11.376923076923076</v>
      </c>
      <c r="H31" s="274">
        <v>5</v>
      </c>
      <c r="I31" s="274">
        <v>0</v>
      </c>
      <c r="J31" s="274">
        <f t="shared" si="34"/>
        <v>0</v>
      </c>
      <c r="K31" s="274">
        <v>3</v>
      </c>
      <c r="L31" s="274">
        <f t="shared" si="36"/>
        <v>3</v>
      </c>
      <c r="M31" s="274">
        <f t="shared" si="37"/>
        <v>3</v>
      </c>
      <c r="N31" s="274">
        <f t="shared" si="38"/>
        <v>3</v>
      </c>
      <c r="O31" s="274">
        <f t="shared" si="39"/>
        <v>3</v>
      </c>
      <c r="P31" s="274">
        <f t="shared" si="40"/>
        <v>3</v>
      </c>
      <c r="Q31" s="274">
        <f t="shared" si="41"/>
        <v>3</v>
      </c>
      <c r="R31" s="274">
        <f t="shared" si="42"/>
        <v>3</v>
      </c>
      <c r="S31" s="274">
        <f t="shared" si="43"/>
        <v>3</v>
      </c>
      <c r="T31" s="274">
        <f t="shared" si="44"/>
        <v>3</v>
      </c>
      <c r="U31" s="274">
        <f t="shared" si="45"/>
        <v>3</v>
      </c>
      <c r="V31" s="274">
        <f t="shared" si="46"/>
        <v>3</v>
      </c>
      <c r="W31" s="274">
        <f t="shared" si="47"/>
        <v>3</v>
      </c>
      <c r="X31" s="274">
        <f t="shared" si="48"/>
        <v>3</v>
      </c>
      <c r="Y31" s="274">
        <f t="shared" si="49"/>
        <v>3</v>
      </c>
      <c r="Z31" s="274">
        <f t="shared" si="30"/>
        <v>3</v>
      </c>
    </row>
    <row r="32" spans="1:76" ht="13.5" thickBot="1">
      <c r="A32" s="283" t="str">
        <f>+'Resumen Sprints'!A30</f>
        <v xml:space="preserve">          Caidas</v>
      </c>
      <c r="B32" s="194" t="s">
        <v>116</v>
      </c>
      <c r="C32" s="219">
        <f t="shared" si="11"/>
        <v>8</v>
      </c>
      <c r="D32" s="267">
        <f t="shared" si="31"/>
        <v>0</v>
      </c>
      <c r="E32" s="137" t="s">
        <v>40</v>
      </c>
      <c r="F32" s="273">
        <f>+'Resumen Sprints'!I30</f>
        <v>11.376923076923076</v>
      </c>
      <c r="G32" s="274">
        <f t="shared" si="32"/>
        <v>11.376923076923076</v>
      </c>
      <c r="H32" s="274">
        <v>11</v>
      </c>
      <c r="I32" s="274">
        <v>0</v>
      </c>
      <c r="J32" s="274">
        <f t="shared" si="34"/>
        <v>0</v>
      </c>
      <c r="K32" s="274">
        <f t="shared" si="35"/>
        <v>0</v>
      </c>
      <c r="L32" s="274">
        <f t="shared" si="36"/>
        <v>0</v>
      </c>
      <c r="M32" s="274">
        <f t="shared" si="37"/>
        <v>0</v>
      </c>
      <c r="N32" s="274">
        <f t="shared" si="38"/>
        <v>0</v>
      </c>
      <c r="O32" s="274">
        <f t="shared" si="39"/>
        <v>0</v>
      </c>
      <c r="P32" s="274">
        <f t="shared" si="40"/>
        <v>0</v>
      </c>
      <c r="Q32" s="274">
        <f t="shared" si="41"/>
        <v>0</v>
      </c>
      <c r="R32" s="274">
        <f t="shared" si="42"/>
        <v>0</v>
      </c>
      <c r="S32" s="274">
        <f t="shared" si="43"/>
        <v>0</v>
      </c>
      <c r="T32" s="274">
        <f t="shared" si="44"/>
        <v>0</v>
      </c>
      <c r="U32" s="274">
        <f t="shared" si="45"/>
        <v>0</v>
      </c>
      <c r="V32" s="274">
        <f t="shared" si="46"/>
        <v>0</v>
      </c>
      <c r="W32" s="274">
        <f t="shared" si="47"/>
        <v>0</v>
      </c>
      <c r="X32" s="274">
        <f t="shared" si="48"/>
        <v>0</v>
      </c>
      <c r="Y32" s="274">
        <f t="shared" si="49"/>
        <v>0</v>
      </c>
      <c r="Z32" s="274">
        <f t="shared" si="30"/>
        <v>0</v>
      </c>
    </row>
    <row r="33" spans="1:26" ht="13.5" thickBot="1">
      <c r="A33" s="284" t="str">
        <f>+'Resumen Sprints'!A31</f>
        <v xml:space="preserve">          Incidencas</v>
      </c>
      <c r="B33" s="194" t="s">
        <v>116</v>
      </c>
      <c r="C33" s="219">
        <f t="shared" si="11"/>
        <v>8</v>
      </c>
      <c r="D33" s="267">
        <f t="shared" si="31"/>
        <v>0</v>
      </c>
      <c r="E33" s="137" t="s">
        <v>40</v>
      </c>
      <c r="F33" s="273">
        <f>+'Resumen Sprints'!I31</f>
        <v>5.1196153846153836</v>
      </c>
      <c r="G33" s="274">
        <f t="shared" si="32"/>
        <v>5.1196153846153836</v>
      </c>
      <c r="H33" s="274">
        <v>0</v>
      </c>
      <c r="I33" s="274">
        <v>0</v>
      </c>
      <c r="J33" s="274">
        <f t="shared" si="34"/>
        <v>0</v>
      </c>
      <c r="K33" s="274">
        <f t="shared" si="35"/>
        <v>0</v>
      </c>
      <c r="L33" s="274">
        <f t="shared" si="36"/>
        <v>0</v>
      </c>
      <c r="M33" s="274">
        <f t="shared" si="37"/>
        <v>0</v>
      </c>
      <c r="N33" s="274">
        <f t="shared" si="38"/>
        <v>0</v>
      </c>
      <c r="O33" s="274">
        <f t="shared" si="39"/>
        <v>0</v>
      </c>
      <c r="P33" s="274">
        <f t="shared" si="40"/>
        <v>0</v>
      </c>
      <c r="Q33" s="274">
        <f t="shared" si="41"/>
        <v>0</v>
      </c>
      <c r="R33" s="274">
        <f t="shared" si="42"/>
        <v>0</v>
      </c>
      <c r="S33" s="274">
        <f t="shared" si="43"/>
        <v>0</v>
      </c>
      <c r="T33" s="274">
        <f t="shared" si="44"/>
        <v>0</v>
      </c>
      <c r="U33" s="274">
        <f t="shared" si="45"/>
        <v>0</v>
      </c>
      <c r="V33" s="274">
        <f t="shared" si="46"/>
        <v>0</v>
      </c>
      <c r="W33" s="274">
        <f t="shared" si="47"/>
        <v>0</v>
      </c>
      <c r="X33" s="274">
        <f t="shared" si="48"/>
        <v>0</v>
      </c>
      <c r="Y33" s="274">
        <f t="shared" si="49"/>
        <v>0</v>
      </c>
      <c r="Z33" s="274">
        <f t="shared" si="30"/>
        <v>0</v>
      </c>
    </row>
    <row r="34" spans="1:26" ht="13.5" thickBot="1">
      <c r="A34" s="284" t="str">
        <f>+'Resumen Sprints'!A32</f>
        <v xml:space="preserve">              Generales</v>
      </c>
      <c r="B34" s="194" t="s">
        <v>116</v>
      </c>
      <c r="C34" s="219">
        <f t="shared" si="11"/>
        <v>8</v>
      </c>
      <c r="D34" s="268">
        <f t="shared" si="31"/>
        <v>0</v>
      </c>
      <c r="E34" s="137" t="s">
        <v>40</v>
      </c>
      <c r="F34" s="273">
        <f>+'Resumen Sprints'!I32</f>
        <v>1.7065384615384613</v>
      </c>
      <c r="G34" s="274">
        <f t="shared" si="32"/>
        <v>1.7065384615384613</v>
      </c>
      <c r="H34" s="274">
        <v>0</v>
      </c>
      <c r="I34" s="274">
        <v>0</v>
      </c>
      <c r="J34" s="274">
        <f t="shared" si="34"/>
        <v>0</v>
      </c>
      <c r="K34" s="274">
        <f t="shared" si="35"/>
        <v>0</v>
      </c>
      <c r="L34" s="274">
        <f t="shared" si="36"/>
        <v>0</v>
      </c>
      <c r="M34" s="274">
        <f t="shared" si="37"/>
        <v>0</v>
      </c>
      <c r="N34" s="274">
        <f t="shared" si="38"/>
        <v>0</v>
      </c>
      <c r="O34" s="274">
        <f t="shared" si="39"/>
        <v>0</v>
      </c>
      <c r="P34" s="274">
        <f t="shared" si="40"/>
        <v>0</v>
      </c>
      <c r="Q34" s="274">
        <f t="shared" si="41"/>
        <v>0</v>
      </c>
      <c r="R34" s="274">
        <f t="shared" si="42"/>
        <v>0</v>
      </c>
      <c r="S34" s="274">
        <f t="shared" si="43"/>
        <v>0</v>
      </c>
      <c r="T34" s="274">
        <f t="shared" si="44"/>
        <v>0</v>
      </c>
      <c r="U34" s="274">
        <f t="shared" si="45"/>
        <v>0</v>
      </c>
      <c r="V34" s="274">
        <f t="shared" si="46"/>
        <v>0</v>
      </c>
      <c r="W34" s="274">
        <f t="shared" si="47"/>
        <v>0</v>
      </c>
      <c r="X34" s="274">
        <f t="shared" si="48"/>
        <v>0</v>
      </c>
      <c r="Y34" s="274">
        <f t="shared" si="49"/>
        <v>0</v>
      </c>
      <c r="Z34" s="274">
        <f t="shared" si="30"/>
        <v>0</v>
      </c>
    </row>
    <row r="35" spans="1:26" ht="13.5" thickBot="1">
      <c r="A35" s="284" t="str">
        <f>+'Resumen Sprints'!A33</f>
        <v xml:space="preserve">              Tareas</v>
      </c>
      <c r="B35" s="194" t="s">
        <v>116</v>
      </c>
      <c r="C35" s="219">
        <f t="shared" si="11"/>
        <v>8</v>
      </c>
      <c r="D35" s="267">
        <f t="shared" si="31"/>
        <v>0</v>
      </c>
      <c r="E35" s="137" t="s">
        <v>40</v>
      </c>
      <c r="F35" s="273">
        <f>+'Resumen Sprints'!I33</f>
        <v>1.7065384615384613</v>
      </c>
      <c r="G35" s="274">
        <f t="shared" si="32"/>
        <v>1.7065384615384613</v>
      </c>
      <c r="H35" s="274">
        <v>0</v>
      </c>
      <c r="I35" s="274">
        <v>0</v>
      </c>
      <c r="J35" s="274">
        <f t="shared" si="34"/>
        <v>0</v>
      </c>
      <c r="K35" s="274">
        <f t="shared" si="35"/>
        <v>0</v>
      </c>
      <c r="L35" s="274">
        <f t="shared" si="36"/>
        <v>0</v>
      </c>
      <c r="M35" s="274">
        <f t="shared" si="37"/>
        <v>0</v>
      </c>
      <c r="N35" s="274">
        <f t="shared" si="38"/>
        <v>0</v>
      </c>
      <c r="O35" s="274">
        <f t="shared" si="39"/>
        <v>0</v>
      </c>
      <c r="P35" s="274">
        <f t="shared" si="40"/>
        <v>0</v>
      </c>
      <c r="Q35" s="274">
        <f t="shared" si="41"/>
        <v>0</v>
      </c>
      <c r="R35" s="274">
        <f t="shared" si="42"/>
        <v>0</v>
      </c>
      <c r="S35" s="274">
        <f t="shared" si="43"/>
        <v>0</v>
      </c>
      <c r="T35" s="274">
        <f t="shared" si="44"/>
        <v>0</v>
      </c>
      <c r="U35" s="274">
        <f t="shared" si="45"/>
        <v>0</v>
      </c>
      <c r="V35" s="274">
        <f t="shared" si="46"/>
        <v>0</v>
      </c>
      <c r="W35" s="274">
        <f t="shared" si="47"/>
        <v>0</v>
      </c>
      <c r="X35" s="274">
        <f t="shared" si="48"/>
        <v>0</v>
      </c>
      <c r="Y35" s="274">
        <f t="shared" si="49"/>
        <v>0</v>
      </c>
      <c r="Z35" s="274">
        <f t="shared" si="30"/>
        <v>0</v>
      </c>
    </row>
    <row r="36" spans="1:26" ht="13.5" thickBot="1">
      <c r="A36" s="284" t="str">
        <f>+'Resumen Sprints'!A34</f>
        <v xml:space="preserve">              Alertas Medicación</v>
      </c>
      <c r="B36" s="194" t="s">
        <v>116</v>
      </c>
      <c r="C36" s="219">
        <f t="shared" si="11"/>
        <v>8</v>
      </c>
      <c r="D36" s="267">
        <f t="shared" si="31"/>
        <v>0</v>
      </c>
      <c r="E36" s="137" t="s">
        <v>40</v>
      </c>
      <c r="F36" s="273">
        <f>+'Resumen Sprints'!I34</f>
        <v>1.7065384615384613</v>
      </c>
      <c r="G36" s="274">
        <f t="shared" si="32"/>
        <v>1.7065384615384613</v>
      </c>
      <c r="H36" s="274">
        <v>0</v>
      </c>
      <c r="I36" s="274">
        <v>0</v>
      </c>
      <c r="J36" s="274">
        <f t="shared" si="34"/>
        <v>0</v>
      </c>
      <c r="K36" s="274">
        <f t="shared" si="35"/>
        <v>0</v>
      </c>
      <c r="L36" s="274">
        <f t="shared" si="36"/>
        <v>0</v>
      </c>
      <c r="M36" s="274">
        <f t="shared" si="37"/>
        <v>0</v>
      </c>
      <c r="N36" s="274">
        <f t="shared" si="38"/>
        <v>0</v>
      </c>
      <c r="O36" s="274">
        <f t="shared" si="39"/>
        <v>0</v>
      </c>
      <c r="P36" s="274">
        <f t="shared" si="40"/>
        <v>0</v>
      </c>
      <c r="Q36" s="274">
        <f t="shared" si="41"/>
        <v>0</v>
      </c>
      <c r="R36" s="274">
        <f t="shared" si="42"/>
        <v>0</v>
      </c>
      <c r="S36" s="274">
        <f t="shared" si="43"/>
        <v>0</v>
      </c>
      <c r="T36" s="274">
        <f t="shared" si="44"/>
        <v>0</v>
      </c>
      <c r="U36" s="274">
        <f t="shared" si="45"/>
        <v>0</v>
      </c>
      <c r="V36" s="274">
        <f t="shared" si="46"/>
        <v>0</v>
      </c>
      <c r="W36" s="274">
        <f t="shared" si="47"/>
        <v>0</v>
      </c>
      <c r="X36" s="274">
        <f t="shared" si="48"/>
        <v>0</v>
      </c>
      <c r="Y36" s="274">
        <f t="shared" si="49"/>
        <v>0</v>
      </c>
      <c r="Z36" s="274">
        <f t="shared" si="30"/>
        <v>0</v>
      </c>
    </row>
    <row r="37" spans="1:26" ht="13.5" thickBot="1">
      <c r="A37" s="283" t="str">
        <f>+'Resumen Sprints'!A35</f>
        <v xml:space="preserve">    Visitas</v>
      </c>
      <c r="B37" s="194" t="s">
        <v>116</v>
      </c>
      <c r="C37" s="219">
        <f t="shared" si="11"/>
        <v>8</v>
      </c>
      <c r="D37" s="267">
        <f t="shared" si="31"/>
        <v>0</v>
      </c>
      <c r="E37" s="137" t="s">
        <v>40</v>
      </c>
      <c r="F37" s="273">
        <f>+'Resumen Sprints'!I35</f>
        <v>11.376923076923076</v>
      </c>
      <c r="G37" s="274">
        <f t="shared" si="32"/>
        <v>11.376923076923076</v>
      </c>
      <c r="H37" s="274">
        <v>11</v>
      </c>
      <c r="I37" s="274">
        <v>0</v>
      </c>
      <c r="J37" s="274">
        <f t="shared" si="34"/>
        <v>0</v>
      </c>
      <c r="K37" s="274">
        <f t="shared" si="35"/>
        <v>0</v>
      </c>
      <c r="L37" s="274">
        <f t="shared" si="36"/>
        <v>0</v>
      </c>
      <c r="M37" s="274">
        <f t="shared" si="37"/>
        <v>0</v>
      </c>
      <c r="N37" s="274">
        <f t="shared" si="38"/>
        <v>0</v>
      </c>
      <c r="O37" s="274">
        <f t="shared" si="39"/>
        <v>0</v>
      </c>
      <c r="P37" s="274">
        <f t="shared" si="40"/>
        <v>0</v>
      </c>
      <c r="Q37" s="274">
        <f t="shared" si="41"/>
        <v>0</v>
      </c>
      <c r="R37" s="274">
        <f t="shared" si="42"/>
        <v>0</v>
      </c>
      <c r="S37" s="274">
        <f t="shared" si="43"/>
        <v>0</v>
      </c>
      <c r="T37" s="274">
        <f t="shared" si="44"/>
        <v>0</v>
      </c>
      <c r="U37" s="274">
        <f t="shared" si="45"/>
        <v>0</v>
      </c>
      <c r="V37" s="274">
        <f t="shared" si="46"/>
        <v>0</v>
      </c>
      <c r="W37" s="274">
        <f t="shared" si="47"/>
        <v>0</v>
      </c>
      <c r="X37" s="274">
        <f t="shared" si="48"/>
        <v>0</v>
      </c>
      <c r="Y37" s="274">
        <f t="shared" si="49"/>
        <v>0</v>
      </c>
      <c r="Z37" s="274">
        <f t="shared" si="30"/>
        <v>0</v>
      </c>
    </row>
    <row r="38" spans="1:26" ht="13.5" thickBot="1">
      <c r="A38" s="303" t="str">
        <f>+'Resumen Sprints'!A36</f>
        <v>Médico</v>
      </c>
      <c r="B38" s="306" t="s">
        <v>114</v>
      </c>
      <c r="C38" s="219">
        <f t="shared" si="11"/>
        <v>8</v>
      </c>
      <c r="D38" s="267">
        <f t="shared" si="31"/>
        <v>0</v>
      </c>
      <c r="E38" s="137" t="s">
        <v>40</v>
      </c>
      <c r="F38" s="273">
        <f>+'Resumen Sprints'!I36</f>
        <v>4.5507692307692302</v>
      </c>
      <c r="G38" s="274">
        <f t="shared" si="32"/>
        <v>4.5507692307692302</v>
      </c>
      <c r="H38" s="274">
        <f t="shared" ref="H38:H59" si="50">+G38</f>
        <v>4.5507692307692302</v>
      </c>
      <c r="I38" s="274">
        <f t="shared" si="33"/>
        <v>4.5507692307692302</v>
      </c>
      <c r="J38" s="274">
        <v>10</v>
      </c>
      <c r="K38" s="274">
        <v>0</v>
      </c>
      <c r="L38" s="274">
        <f t="shared" si="36"/>
        <v>0</v>
      </c>
      <c r="M38" s="274">
        <f t="shared" si="37"/>
        <v>0</v>
      </c>
      <c r="N38" s="274">
        <f t="shared" si="38"/>
        <v>0</v>
      </c>
      <c r="O38" s="274">
        <f t="shared" si="39"/>
        <v>0</v>
      </c>
      <c r="P38" s="274">
        <f t="shared" si="40"/>
        <v>0</v>
      </c>
      <c r="Q38" s="274">
        <f t="shared" si="41"/>
        <v>0</v>
      </c>
      <c r="R38" s="274">
        <f t="shared" si="42"/>
        <v>0</v>
      </c>
      <c r="S38" s="274">
        <f t="shared" si="43"/>
        <v>0</v>
      </c>
      <c r="T38" s="274">
        <f t="shared" si="44"/>
        <v>0</v>
      </c>
      <c r="U38" s="274">
        <f t="shared" si="45"/>
        <v>0</v>
      </c>
      <c r="V38" s="274">
        <f t="shared" si="46"/>
        <v>0</v>
      </c>
      <c r="W38" s="274">
        <f t="shared" si="47"/>
        <v>0</v>
      </c>
      <c r="X38" s="274">
        <f t="shared" si="48"/>
        <v>0</v>
      </c>
      <c r="Y38" s="274">
        <f t="shared" si="49"/>
        <v>0</v>
      </c>
      <c r="Z38" s="274">
        <f t="shared" si="30"/>
        <v>0</v>
      </c>
    </row>
    <row r="39" spans="1:26" ht="13.5" thickBot="1">
      <c r="A39" s="303" t="str">
        <f>+'Resumen Sprints'!A37</f>
        <v xml:space="preserve">    Anámnesis</v>
      </c>
      <c r="B39" s="306" t="s">
        <v>114</v>
      </c>
      <c r="C39" s="219">
        <f t="shared" si="11"/>
        <v>8</v>
      </c>
      <c r="D39" s="267">
        <f t="shared" si="31"/>
        <v>0</v>
      </c>
      <c r="E39" s="137" t="s">
        <v>40</v>
      </c>
      <c r="F39" s="273">
        <f>+'Resumen Sprints'!I37</f>
        <v>11.376923076923076</v>
      </c>
      <c r="G39" s="274">
        <f t="shared" si="32"/>
        <v>11.376923076923076</v>
      </c>
      <c r="H39" s="274">
        <f t="shared" si="50"/>
        <v>11.376923076923076</v>
      </c>
      <c r="I39" s="274">
        <f t="shared" si="33"/>
        <v>11.376923076923076</v>
      </c>
      <c r="J39" s="274">
        <f t="shared" si="34"/>
        <v>11.376923076923076</v>
      </c>
      <c r="K39" s="274">
        <v>0</v>
      </c>
      <c r="L39" s="274">
        <f t="shared" si="36"/>
        <v>0</v>
      </c>
      <c r="M39" s="274">
        <f t="shared" si="37"/>
        <v>0</v>
      </c>
      <c r="N39" s="274">
        <f t="shared" si="38"/>
        <v>0</v>
      </c>
      <c r="O39" s="274">
        <f t="shared" si="39"/>
        <v>0</v>
      </c>
      <c r="P39" s="274">
        <f t="shared" si="40"/>
        <v>0</v>
      </c>
      <c r="Q39" s="274">
        <f t="shared" si="41"/>
        <v>0</v>
      </c>
      <c r="R39" s="274">
        <f t="shared" si="42"/>
        <v>0</v>
      </c>
      <c r="S39" s="274">
        <f t="shared" si="43"/>
        <v>0</v>
      </c>
      <c r="T39" s="274">
        <f t="shared" si="44"/>
        <v>0</v>
      </c>
      <c r="U39" s="274">
        <f t="shared" si="45"/>
        <v>0</v>
      </c>
      <c r="V39" s="274">
        <f t="shared" si="46"/>
        <v>0</v>
      </c>
      <c r="W39" s="274">
        <f t="shared" si="47"/>
        <v>0</v>
      </c>
      <c r="X39" s="274">
        <f t="shared" si="48"/>
        <v>0</v>
      </c>
      <c r="Y39" s="274">
        <f t="shared" si="49"/>
        <v>0</v>
      </c>
      <c r="Z39" s="274">
        <f t="shared" si="30"/>
        <v>0</v>
      </c>
    </row>
    <row r="40" spans="1:26" ht="13.5" thickBot="1">
      <c r="A40" s="284" t="str">
        <f>+'Resumen Sprints'!A38</f>
        <v>Pantalla Incidencias</v>
      </c>
      <c r="B40" s="306" t="s">
        <v>114</v>
      </c>
      <c r="C40" s="219">
        <f t="shared" si="11"/>
        <v>8</v>
      </c>
      <c r="D40" s="267">
        <f t="shared" si="31"/>
        <v>10</v>
      </c>
      <c r="E40" s="137" t="s">
        <v>40</v>
      </c>
      <c r="F40" s="273">
        <f>+'Resumen Sprints'!I38</f>
        <v>20.478461538461534</v>
      </c>
      <c r="G40" s="274">
        <f t="shared" si="32"/>
        <v>20.478461538461534</v>
      </c>
      <c r="H40" s="274">
        <v>20</v>
      </c>
      <c r="I40" s="274">
        <f t="shared" si="33"/>
        <v>20</v>
      </c>
      <c r="J40" s="274">
        <f t="shared" si="34"/>
        <v>20</v>
      </c>
      <c r="K40" s="274">
        <v>5</v>
      </c>
      <c r="L40" s="274">
        <v>10</v>
      </c>
      <c r="M40" s="274">
        <f t="shared" si="37"/>
        <v>10</v>
      </c>
      <c r="N40" s="274">
        <f t="shared" si="38"/>
        <v>10</v>
      </c>
      <c r="O40" s="274">
        <f t="shared" si="39"/>
        <v>10</v>
      </c>
      <c r="P40" s="274">
        <f t="shared" si="40"/>
        <v>10</v>
      </c>
      <c r="Q40" s="274">
        <f t="shared" si="41"/>
        <v>10</v>
      </c>
      <c r="R40" s="274">
        <f t="shared" si="42"/>
        <v>10</v>
      </c>
      <c r="S40" s="274">
        <f t="shared" si="43"/>
        <v>10</v>
      </c>
      <c r="T40" s="274">
        <f t="shared" si="44"/>
        <v>10</v>
      </c>
      <c r="U40" s="274">
        <f t="shared" si="45"/>
        <v>10</v>
      </c>
      <c r="V40" s="274">
        <f t="shared" si="46"/>
        <v>10</v>
      </c>
      <c r="W40" s="274">
        <f t="shared" si="47"/>
        <v>10</v>
      </c>
      <c r="X40" s="274">
        <f t="shared" si="48"/>
        <v>10</v>
      </c>
      <c r="Y40" s="274">
        <f t="shared" si="49"/>
        <v>10</v>
      </c>
      <c r="Z40" s="274">
        <f t="shared" si="30"/>
        <v>10</v>
      </c>
    </row>
    <row r="41" spans="1:26" ht="13.5" thickBot="1">
      <c r="A41" s="289" t="str">
        <f>+'Resumen Sprints'!A39</f>
        <v xml:space="preserve">     Generales</v>
      </c>
      <c r="B41" s="306" t="s">
        <v>114</v>
      </c>
      <c r="C41" s="219">
        <f t="shared" si="11"/>
        <v>8</v>
      </c>
      <c r="D41" s="267">
        <f t="shared" si="31"/>
        <v>4.5507692307692302</v>
      </c>
      <c r="E41" s="137" t="s">
        <v>40</v>
      </c>
      <c r="F41" s="273">
        <f>+'Resumen Sprints'!I39</f>
        <v>4.5507692307692302</v>
      </c>
      <c r="G41" s="274">
        <f t="shared" si="32"/>
        <v>4.5507692307692302</v>
      </c>
      <c r="H41" s="274">
        <f t="shared" si="50"/>
        <v>4.5507692307692302</v>
      </c>
      <c r="I41" s="274">
        <f t="shared" si="33"/>
        <v>4.5507692307692302</v>
      </c>
      <c r="J41" s="274">
        <f t="shared" si="34"/>
        <v>4.5507692307692302</v>
      </c>
      <c r="K41" s="274">
        <f t="shared" si="35"/>
        <v>4.5507692307692302</v>
      </c>
      <c r="L41" s="274">
        <f t="shared" si="36"/>
        <v>4.5507692307692302</v>
      </c>
      <c r="M41" s="274">
        <f t="shared" si="37"/>
        <v>4.5507692307692302</v>
      </c>
      <c r="N41" s="274">
        <f t="shared" si="38"/>
        <v>4.5507692307692302</v>
      </c>
      <c r="O41" s="274">
        <f t="shared" si="39"/>
        <v>4.5507692307692302</v>
      </c>
      <c r="P41" s="274">
        <f t="shared" si="40"/>
        <v>4.5507692307692302</v>
      </c>
      <c r="Q41" s="274">
        <f t="shared" si="41"/>
        <v>4.5507692307692302</v>
      </c>
      <c r="R41" s="274">
        <f t="shared" si="42"/>
        <v>4.5507692307692302</v>
      </c>
      <c r="S41" s="274">
        <f t="shared" si="43"/>
        <v>4.5507692307692302</v>
      </c>
      <c r="T41" s="274">
        <f t="shared" si="44"/>
        <v>4.5507692307692302</v>
      </c>
      <c r="U41" s="274">
        <f t="shared" si="45"/>
        <v>4.5507692307692302</v>
      </c>
      <c r="V41" s="274">
        <f t="shared" si="46"/>
        <v>4.5507692307692302</v>
      </c>
      <c r="W41" s="274">
        <f t="shared" si="47"/>
        <v>4.5507692307692302</v>
      </c>
      <c r="X41" s="274">
        <f t="shared" si="48"/>
        <v>4.5507692307692302</v>
      </c>
      <c r="Y41" s="274">
        <f t="shared" si="49"/>
        <v>4.5507692307692302</v>
      </c>
      <c r="Z41" s="274">
        <f t="shared" si="30"/>
        <v>4.5507692307692302</v>
      </c>
    </row>
    <row r="42" spans="1:26" ht="13.5" thickBot="1">
      <c r="A42" s="289" t="str">
        <f>+'Resumen Sprints'!A40</f>
        <v xml:space="preserve">     Tareas</v>
      </c>
      <c r="B42" s="306" t="s">
        <v>114</v>
      </c>
      <c r="C42" s="219">
        <f t="shared" si="11"/>
        <v>8</v>
      </c>
      <c r="D42" s="267">
        <f t="shared" si="31"/>
        <v>0</v>
      </c>
      <c r="E42" s="137" t="s">
        <v>40</v>
      </c>
      <c r="F42" s="273">
        <f>+'Resumen Sprints'!I40</f>
        <v>4.5507692307692302</v>
      </c>
      <c r="G42" s="274">
        <f t="shared" si="32"/>
        <v>4.5507692307692302</v>
      </c>
      <c r="H42" s="274">
        <f t="shared" si="50"/>
        <v>4.5507692307692302</v>
      </c>
      <c r="I42" s="274">
        <f t="shared" si="33"/>
        <v>4.5507692307692302</v>
      </c>
      <c r="J42" s="274">
        <f t="shared" si="34"/>
        <v>4.5507692307692302</v>
      </c>
      <c r="K42" s="274">
        <f t="shared" si="35"/>
        <v>4.5507692307692302</v>
      </c>
      <c r="L42" s="274">
        <v>0</v>
      </c>
      <c r="M42" s="274">
        <f t="shared" si="37"/>
        <v>0</v>
      </c>
      <c r="N42" s="274">
        <f t="shared" si="38"/>
        <v>0</v>
      </c>
      <c r="O42" s="274">
        <f t="shared" si="39"/>
        <v>0</v>
      </c>
      <c r="P42" s="274">
        <f t="shared" si="40"/>
        <v>0</v>
      </c>
      <c r="Q42" s="274">
        <f t="shared" si="41"/>
        <v>0</v>
      </c>
      <c r="R42" s="274">
        <f t="shared" si="42"/>
        <v>0</v>
      </c>
      <c r="S42" s="274">
        <f t="shared" si="43"/>
        <v>0</v>
      </c>
      <c r="T42" s="274">
        <f t="shared" si="44"/>
        <v>0</v>
      </c>
      <c r="U42" s="274">
        <f t="shared" si="45"/>
        <v>0</v>
      </c>
      <c r="V42" s="274">
        <f t="shared" si="46"/>
        <v>0</v>
      </c>
      <c r="W42" s="274">
        <f t="shared" si="47"/>
        <v>0</v>
      </c>
      <c r="X42" s="274">
        <f t="shared" si="48"/>
        <v>0</v>
      </c>
      <c r="Y42" s="274">
        <f t="shared" si="49"/>
        <v>0</v>
      </c>
      <c r="Z42" s="274">
        <f t="shared" si="30"/>
        <v>0</v>
      </c>
    </row>
    <row r="43" spans="1:26" ht="13.5" thickBot="1">
      <c r="A43" s="290" t="str">
        <f>+'Resumen Sprints'!A41</f>
        <v xml:space="preserve">     Alertas Medicación</v>
      </c>
      <c r="B43" s="306" t="s">
        <v>114</v>
      </c>
      <c r="C43" s="219">
        <f t="shared" si="11"/>
        <v>8</v>
      </c>
      <c r="D43" s="267">
        <f t="shared" si="31"/>
        <v>0</v>
      </c>
      <c r="E43" s="137" t="s">
        <v>40</v>
      </c>
      <c r="F43" s="273">
        <f>+'Resumen Sprints'!I41</f>
        <v>4.5507692307692302</v>
      </c>
      <c r="G43" s="274">
        <f t="shared" si="32"/>
        <v>4.5507692307692302</v>
      </c>
      <c r="H43" s="274">
        <f t="shared" si="50"/>
        <v>4.5507692307692302</v>
      </c>
      <c r="I43" s="274">
        <f t="shared" si="33"/>
        <v>4.5507692307692302</v>
      </c>
      <c r="J43" s="274">
        <f t="shared" si="34"/>
        <v>4.5507692307692302</v>
      </c>
      <c r="K43" s="274">
        <f t="shared" si="35"/>
        <v>4.5507692307692302</v>
      </c>
      <c r="L43" s="274">
        <v>0</v>
      </c>
      <c r="M43" s="274">
        <f t="shared" si="37"/>
        <v>0</v>
      </c>
      <c r="N43" s="274">
        <f t="shared" si="38"/>
        <v>0</v>
      </c>
      <c r="O43" s="274">
        <f t="shared" si="39"/>
        <v>0</v>
      </c>
      <c r="P43" s="274">
        <f t="shared" si="40"/>
        <v>0</v>
      </c>
      <c r="Q43" s="274">
        <f t="shared" si="41"/>
        <v>0</v>
      </c>
      <c r="R43" s="274">
        <f t="shared" si="42"/>
        <v>0</v>
      </c>
      <c r="S43" s="274">
        <f t="shared" si="43"/>
        <v>0</v>
      </c>
      <c r="T43" s="274">
        <f t="shared" si="44"/>
        <v>0</v>
      </c>
      <c r="U43" s="274">
        <f t="shared" si="45"/>
        <v>0</v>
      </c>
      <c r="V43" s="274">
        <f t="shared" si="46"/>
        <v>0</v>
      </c>
      <c r="W43" s="274">
        <f t="shared" si="47"/>
        <v>0</v>
      </c>
      <c r="X43" s="274">
        <f t="shared" si="48"/>
        <v>0</v>
      </c>
      <c r="Y43" s="274">
        <f t="shared" si="49"/>
        <v>0</v>
      </c>
      <c r="Z43" s="274">
        <f t="shared" si="30"/>
        <v>0</v>
      </c>
    </row>
    <row r="44" spans="1:26" ht="13.5" thickBot="1">
      <c r="A44" s="304" t="str">
        <f>+'Resumen Sprints'!A42</f>
        <v>Pantalla Ordenes Médicas</v>
      </c>
      <c r="B44" s="306" t="s">
        <v>114</v>
      </c>
      <c r="C44" s="219">
        <f t="shared" si="11"/>
        <v>8</v>
      </c>
      <c r="D44" s="267">
        <f t="shared" si="31"/>
        <v>11</v>
      </c>
      <c r="E44" s="137" t="s">
        <v>40</v>
      </c>
      <c r="F44" s="273">
        <f>+'Resumen Sprints'!I42</f>
        <v>11.376923076923076</v>
      </c>
      <c r="G44" s="274">
        <f t="shared" si="32"/>
        <v>11.376923076923076</v>
      </c>
      <c r="H44" s="274">
        <f t="shared" si="50"/>
        <v>11.376923076923076</v>
      </c>
      <c r="I44" s="274">
        <f t="shared" si="33"/>
        <v>11.376923076923076</v>
      </c>
      <c r="J44" s="274">
        <f t="shared" si="34"/>
        <v>11.376923076923076</v>
      </c>
      <c r="K44" s="274">
        <v>15</v>
      </c>
      <c r="L44" s="274">
        <v>11</v>
      </c>
      <c r="M44" s="274">
        <f t="shared" si="37"/>
        <v>11</v>
      </c>
      <c r="N44" s="274">
        <f t="shared" si="38"/>
        <v>11</v>
      </c>
      <c r="O44" s="274">
        <f t="shared" si="39"/>
        <v>11</v>
      </c>
      <c r="P44" s="274">
        <f t="shared" si="40"/>
        <v>11</v>
      </c>
      <c r="Q44" s="274">
        <f t="shared" si="41"/>
        <v>11</v>
      </c>
      <c r="R44" s="274">
        <f t="shared" si="42"/>
        <v>11</v>
      </c>
      <c r="S44" s="274">
        <f t="shared" si="43"/>
        <v>11</v>
      </c>
      <c r="T44" s="274">
        <f t="shared" si="44"/>
        <v>11</v>
      </c>
      <c r="U44" s="274">
        <f t="shared" si="45"/>
        <v>11</v>
      </c>
      <c r="V44" s="274">
        <f t="shared" si="46"/>
        <v>11</v>
      </c>
      <c r="W44" s="274">
        <f t="shared" si="47"/>
        <v>11</v>
      </c>
      <c r="X44" s="274">
        <f t="shared" si="48"/>
        <v>11</v>
      </c>
      <c r="Y44" s="274">
        <f t="shared" si="49"/>
        <v>11</v>
      </c>
      <c r="Z44" s="274">
        <f t="shared" si="30"/>
        <v>11</v>
      </c>
    </row>
    <row r="45" spans="1:26" ht="13.5" thickBot="1">
      <c r="A45" s="305" t="str">
        <f>+'Resumen Sprints'!A43</f>
        <v xml:space="preserve">    Arbol centros</v>
      </c>
      <c r="B45" s="306" t="s">
        <v>114</v>
      </c>
      <c r="C45" s="219">
        <f t="shared" si="11"/>
        <v>8</v>
      </c>
      <c r="D45" s="267">
        <f t="shared" si="31"/>
        <v>0</v>
      </c>
      <c r="E45" s="137" t="s">
        <v>40</v>
      </c>
      <c r="F45" s="273">
        <f>+'Resumen Sprints'!I43</f>
        <v>3.4130769230769227</v>
      </c>
      <c r="G45" s="274">
        <f t="shared" si="32"/>
        <v>3.4130769230769227</v>
      </c>
      <c r="H45" s="274">
        <f t="shared" si="50"/>
        <v>3.4130769230769227</v>
      </c>
      <c r="I45" s="274">
        <f t="shared" si="33"/>
        <v>3.4130769230769227</v>
      </c>
      <c r="J45" s="274">
        <f t="shared" si="34"/>
        <v>3.4130769230769227</v>
      </c>
      <c r="K45" s="274">
        <f t="shared" si="35"/>
        <v>3.4130769230769227</v>
      </c>
      <c r="L45" s="274">
        <v>0</v>
      </c>
      <c r="M45" s="274">
        <f t="shared" si="37"/>
        <v>0</v>
      </c>
      <c r="N45" s="274">
        <f t="shared" si="38"/>
        <v>0</v>
      </c>
      <c r="O45" s="274">
        <f t="shared" si="39"/>
        <v>0</v>
      </c>
      <c r="P45" s="274">
        <f t="shared" si="40"/>
        <v>0</v>
      </c>
      <c r="Q45" s="274">
        <f t="shared" si="41"/>
        <v>0</v>
      </c>
      <c r="R45" s="274">
        <f t="shared" si="42"/>
        <v>0</v>
      </c>
      <c r="S45" s="274">
        <f t="shared" si="43"/>
        <v>0</v>
      </c>
      <c r="T45" s="274">
        <f t="shared" si="44"/>
        <v>0</v>
      </c>
      <c r="U45" s="274">
        <f t="shared" si="45"/>
        <v>0</v>
      </c>
      <c r="V45" s="274">
        <f t="shared" si="46"/>
        <v>0</v>
      </c>
      <c r="W45" s="274">
        <f t="shared" si="47"/>
        <v>0</v>
      </c>
      <c r="X45" s="274">
        <f t="shared" si="48"/>
        <v>0</v>
      </c>
      <c r="Y45" s="274">
        <f t="shared" si="49"/>
        <v>0</v>
      </c>
      <c r="Z45" s="274">
        <f t="shared" si="30"/>
        <v>0</v>
      </c>
    </row>
    <row r="46" spans="1:26" ht="13.5" thickBot="1">
      <c r="A46" s="305" t="str">
        <f>+'Resumen Sprints'!A44</f>
        <v xml:space="preserve">     Listado de residentes</v>
      </c>
      <c r="B46" s="306" t="s">
        <v>114</v>
      </c>
      <c r="C46" s="219">
        <f t="shared" si="11"/>
        <v>8</v>
      </c>
      <c r="D46" s="267">
        <f t="shared" si="31"/>
        <v>0</v>
      </c>
      <c r="E46" s="137" t="s">
        <v>40</v>
      </c>
      <c r="F46" s="273">
        <f>+'Resumen Sprints'!I44</f>
        <v>1.7065384615384613</v>
      </c>
      <c r="G46" s="274">
        <f t="shared" si="32"/>
        <v>1.7065384615384613</v>
      </c>
      <c r="H46" s="274">
        <f t="shared" si="50"/>
        <v>1.7065384615384613</v>
      </c>
      <c r="I46" s="274">
        <f t="shared" si="33"/>
        <v>1.7065384615384613</v>
      </c>
      <c r="J46" s="274">
        <f t="shared" si="34"/>
        <v>1.7065384615384613</v>
      </c>
      <c r="K46" s="274">
        <f t="shared" si="35"/>
        <v>1.7065384615384613</v>
      </c>
      <c r="L46" s="274">
        <v>0</v>
      </c>
      <c r="M46" s="274">
        <f t="shared" si="37"/>
        <v>0</v>
      </c>
      <c r="N46" s="274">
        <f t="shared" si="38"/>
        <v>0</v>
      </c>
      <c r="O46" s="274">
        <f t="shared" si="39"/>
        <v>0</v>
      </c>
      <c r="P46" s="274">
        <f t="shared" si="40"/>
        <v>0</v>
      </c>
      <c r="Q46" s="274">
        <f t="shared" si="41"/>
        <v>0</v>
      </c>
      <c r="R46" s="274">
        <f t="shared" si="42"/>
        <v>0</v>
      </c>
      <c r="S46" s="274">
        <f t="shared" si="43"/>
        <v>0</v>
      </c>
      <c r="T46" s="274">
        <f t="shared" si="44"/>
        <v>0</v>
      </c>
      <c r="U46" s="274">
        <f t="shared" si="45"/>
        <v>0</v>
      </c>
      <c r="V46" s="274">
        <f t="shared" si="46"/>
        <v>0</v>
      </c>
      <c r="W46" s="274">
        <f t="shared" si="47"/>
        <v>0</v>
      </c>
      <c r="X46" s="274">
        <f t="shared" si="48"/>
        <v>0</v>
      </c>
      <c r="Y46" s="274">
        <f t="shared" si="49"/>
        <v>0</v>
      </c>
      <c r="Z46" s="274">
        <f t="shared" ref="Z46:Z63" si="51">+Y46</f>
        <v>0</v>
      </c>
    </row>
    <row r="47" spans="1:26" ht="13.5" thickBot="1">
      <c r="A47" s="305" t="str">
        <f>+'Resumen Sprints'!A45</f>
        <v xml:space="preserve">     Arbol abajo izquierdo </v>
      </c>
      <c r="B47" s="306" t="s">
        <v>114</v>
      </c>
      <c r="C47" s="219">
        <f t="shared" si="11"/>
        <v>8</v>
      </c>
      <c r="D47" s="267">
        <f t="shared" si="31"/>
        <v>0</v>
      </c>
      <c r="E47" s="137" t="s">
        <v>40</v>
      </c>
      <c r="F47" s="273">
        <f>+'Resumen Sprints'!I45</f>
        <v>20.478461538461534</v>
      </c>
      <c r="G47" s="274">
        <f t="shared" si="32"/>
        <v>20.478461538461534</v>
      </c>
      <c r="H47" s="274">
        <f t="shared" si="50"/>
        <v>20.478461538461534</v>
      </c>
      <c r="I47" s="274">
        <f t="shared" si="33"/>
        <v>20.478461538461534</v>
      </c>
      <c r="J47" s="274">
        <f t="shared" si="34"/>
        <v>20.478461538461534</v>
      </c>
      <c r="K47" s="274">
        <f t="shared" si="35"/>
        <v>20.478461538461534</v>
      </c>
      <c r="L47" s="274">
        <v>0</v>
      </c>
      <c r="M47" s="274">
        <f t="shared" si="37"/>
        <v>0</v>
      </c>
      <c r="N47" s="274">
        <f t="shared" si="38"/>
        <v>0</v>
      </c>
      <c r="O47" s="274">
        <f t="shared" si="39"/>
        <v>0</v>
      </c>
      <c r="P47" s="274">
        <f t="shared" si="40"/>
        <v>0</v>
      </c>
      <c r="Q47" s="274">
        <f t="shared" si="41"/>
        <v>0</v>
      </c>
      <c r="R47" s="274">
        <f t="shared" si="42"/>
        <v>0</v>
      </c>
      <c r="S47" s="274">
        <f t="shared" si="43"/>
        <v>0</v>
      </c>
      <c r="T47" s="274">
        <f t="shared" si="44"/>
        <v>0</v>
      </c>
      <c r="U47" s="274">
        <f t="shared" si="45"/>
        <v>0</v>
      </c>
      <c r="V47" s="274">
        <f t="shared" si="46"/>
        <v>0</v>
      </c>
      <c r="W47" s="274">
        <f t="shared" si="47"/>
        <v>0</v>
      </c>
      <c r="X47" s="274">
        <f t="shared" si="48"/>
        <v>0</v>
      </c>
      <c r="Y47" s="274">
        <f t="shared" si="49"/>
        <v>0</v>
      </c>
      <c r="Z47" s="274">
        <f t="shared" si="51"/>
        <v>0</v>
      </c>
    </row>
    <row r="48" spans="1:26" ht="13.5" thickBot="1">
      <c r="A48" s="305" t="str">
        <f>+'Resumen Sprints'!A46</f>
        <v xml:space="preserve">     Detalle de item</v>
      </c>
      <c r="B48" s="306" t="s">
        <v>114</v>
      </c>
      <c r="C48" s="219">
        <f t="shared" si="11"/>
        <v>8</v>
      </c>
      <c r="D48" s="267">
        <f t="shared" si="31"/>
        <v>0</v>
      </c>
      <c r="E48" s="137" t="s">
        <v>40</v>
      </c>
      <c r="F48" s="273">
        <f>+'Resumen Sprints'!I46</f>
        <v>4.5507692307692302</v>
      </c>
      <c r="G48" s="274">
        <f t="shared" si="32"/>
        <v>4.5507692307692302</v>
      </c>
      <c r="H48" s="274">
        <f t="shared" si="50"/>
        <v>4.5507692307692302</v>
      </c>
      <c r="I48" s="274">
        <f t="shared" si="33"/>
        <v>4.5507692307692302</v>
      </c>
      <c r="J48" s="274">
        <f t="shared" si="34"/>
        <v>4.5507692307692302</v>
      </c>
      <c r="K48" s="274">
        <f t="shared" si="35"/>
        <v>4.5507692307692302</v>
      </c>
      <c r="L48" s="274">
        <v>0</v>
      </c>
      <c r="M48" s="274">
        <f t="shared" si="37"/>
        <v>0</v>
      </c>
      <c r="N48" s="274">
        <f t="shared" si="38"/>
        <v>0</v>
      </c>
      <c r="O48" s="274">
        <f t="shared" si="39"/>
        <v>0</v>
      </c>
      <c r="P48" s="274">
        <f t="shared" si="40"/>
        <v>0</v>
      </c>
      <c r="Q48" s="274">
        <f t="shared" si="41"/>
        <v>0</v>
      </c>
      <c r="R48" s="274">
        <f t="shared" si="42"/>
        <v>0</v>
      </c>
      <c r="S48" s="274">
        <f t="shared" si="43"/>
        <v>0</v>
      </c>
      <c r="T48" s="274">
        <f t="shared" si="44"/>
        <v>0</v>
      </c>
      <c r="U48" s="274">
        <f t="shared" si="45"/>
        <v>0</v>
      </c>
      <c r="V48" s="274">
        <f t="shared" si="46"/>
        <v>0</v>
      </c>
      <c r="W48" s="274">
        <f t="shared" si="47"/>
        <v>0</v>
      </c>
      <c r="X48" s="274">
        <f t="shared" si="48"/>
        <v>0</v>
      </c>
      <c r="Y48" s="274">
        <f t="shared" si="49"/>
        <v>0</v>
      </c>
      <c r="Z48" s="274">
        <f t="shared" si="51"/>
        <v>0</v>
      </c>
    </row>
    <row r="49" spans="1:147" s="138" customFormat="1" ht="13.5" thickBot="1">
      <c r="A49" s="258" t="str">
        <f>+'Resumen Sprints'!A47</f>
        <v>Analsis  Expediente</v>
      </c>
      <c r="B49" s="306" t="s">
        <v>114</v>
      </c>
      <c r="C49" s="219">
        <f t="shared" si="11"/>
        <v>8</v>
      </c>
      <c r="D49" s="267">
        <f t="shared" si="31"/>
        <v>0</v>
      </c>
      <c r="E49" s="137" t="s">
        <v>40</v>
      </c>
      <c r="F49" s="273">
        <f>+'Resumen Sprints'!I47</f>
        <v>10</v>
      </c>
      <c r="G49" s="274">
        <f t="shared" si="32"/>
        <v>10</v>
      </c>
      <c r="H49" s="274">
        <f t="shared" si="50"/>
        <v>10</v>
      </c>
      <c r="I49" s="274">
        <f t="shared" si="33"/>
        <v>10</v>
      </c>
      <c r="J49" s="274">
        <f t="shared" si="34"/>
        <v>10</v>
      </c>
      <c r="K49" s="274">
        <f t="shared" si="35"/>
        <v>10</v>
      </c>
      <c r="L49" s="274">
        <v>0</v>
      </c>
      <c r="M49" s="274">
        <f t="shared" si="37"/>
        <v>0</v>
      </c>
      <c r="N49" s="274">
        <f t="shared" si="38"/>
        <v>0</v>
      </c>
      <c r="O49" s="274">
        <f t="shared" si="39"/>
        <v>0</v>
      </c>
      <c r="P49" s="274">
        <f t="shared" si="40"/>
        <v>0</v>
      </c>
      <c r="Q49" s="274">
        <f t="shared" si="41"/>
        <v>0</v>
      </c>
      <c r="R49" s="274">
        <f t="shared" si="42"/>
        <v>0</v>
      </c>
      <c r="S49" s="274">
        <f t="shared" si="43"/>
        <v>0</v>
      </c>
      <c r="T49" s="274">
        <f t="shared" si="44"/>
        <v>0</v>
      </c>
      <c r="U49" s="274">
        <f t="shared" si="45"/>
        <v>0</v>
      </c>
      <c r="V49" s="274">
        <f t="shared" si="46"/>
        <v>0</v>
      </c>
      <c r="W49" s="274">
        <f t="shared" si="47"/>
        <v>0</v>
      </c>
      <c r="X49" s="274">
        <f t="shared" si="48"/>
        <v>0</v>
      </c>
      <c r="Y49" s="274">
        <f t="shared" si="49"/>
        <v>0</v>
      </c>
      <c r="Z49" s="274">
        <f t="shared" si="51"/>
        <v>0</v>
      </c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  <c r="CT49" s="120"/>
      <c r="CU49" s="120"/>
      <c r="CV49" s="120"/>
      <c r="CW49" s="120"/>
      <c r="CX49" s="120"/>
      <c r="CY49" s="120"/>
      <c r="CZ49" s="120"/>
      <c r="DA49" s="120"/>
      <c r="DB49" s="120"/>
      <c r="DC49" s="120"/>
      <c r="DD49" s="120"/>
      <c r="DE49" s="120"/>
      <c r="DF49" s="120"/>
      <c r="DG49" s="120"/>
      <c r="DH49" s="120"/>
      <c r="DI49" s="120"/>
      <c r="DJ49" s="120"/>
      <c r="DK49" s="120"/>
      <c r="DL49" s="120"/>
      <c r="DM49" s="120"/>
      <c r="DN49" s="120"/>
      <c r="DO49" s="120"/>
      <c r="DP49" s="120"/>
      <c r="DQ49" s="120"/>
      <c r="DR49" s="120"/>
      <c r="DS49" s="120"/>
      <c r="DT49" s="120"/>
      <c r="DU49" s="120"/>
      <c r="DV49" s="120"/>
      <c r="DW49" s="120"/>
      <c r="DX49" s="120"/>
      <c r="DY49" s="120"/>
      <c r="DZ49" s="120"/>
      <c r="EA49" s="120"/>
      <c r="EB49" s="120"/>
      <c r="EC49" s="120"/>
      <c r="ED49" s="120"/>
      <c r="EE49" s="120"/>
      <c r="EF49" s="120"/>
      <c r="EG49" s="120"/>
      <c r="EH49" s="120"/>
      <c r="EI49" s="120"/>
      <c r="EJ49" s="120"/>
      <c r="EK49" s="120"/>
      <c r="EL49" s="120"/>
      <c r="EM49" s="120"/>
      <c r="EN49" s="120"/>
      <c r="EO49" s="120"/>
      <c r="EP49" s="120"/>
      <c r="EQ49" s="120"/>
    </row>
    <row r="50" spans="1:147" ht="13.5" thickBot="1">
      <c r="A50" s="260" t="str">
        <f>+'Resumen Sprints'!A48</f>
        <v>Analisis Medico - solo anamnesis .</v>
      </c>
      <c r="B50" s="306" t="s">
        <v>114</v>
      </c>
      <c r="C50" s="219">
        <f t="shared" si="11"/>
        <v>8</v>
      </c>
      <c r="D50" s="267">
        <f t="shared" si="31"/>
        <v>0</v>
      </c>
      <c r="E50" s="137" t="s">
        <v>40</v>
      </c>
      <c r="F50" s="273">
        <f>+'Resumen Sprints'!I48</f>
        <v>3</v>
      </c>
      <c r="G50" s="274">
        <f t="shared" si="32"/>
        <v>3</v>
      </c>
      <c r="H50" s="274">
        <f t="shared" si="50"/>
        <v>3</v>
      </c>
      <c r="I50" s="274">
        <f t="shared" si="33"/>
        <v>3</v>
      </c>
      <c r="J50" s="274">
        <f t="shared" si="34"/>
        <v>3</v>
      </c>
      <c r="K50" s="274">
        <f t="shared" si="35"/>
        <v>3</v>
      </c>
      <c r="L50" s="274">
        <v>0</v>
      </c>
      <c r="M50" s="274">
        <f t="shared" si="37"/>
        <v>0</v>
      </c>
      <c r="N50" s="274">
        <f t="shared" si="38"/>
        <v>0</v>
      </c>
      <c r="O50" s="274">
        <f t="shared" si="39"/>
        <v>0</v>
      </c>
      <c r="P50" s="274">
        <f t="shared" si="40"/>
        <v>0</v>
      </c>
      <c r="Q50" s="274">
        <f t="shared" si="41"/>
        <v>0</v>
      </c>
      <c r="R50" s="274">
        <f t="shared" si="42"/>
        <v>0</v>
      </c>
      <c r="S50" s="274">
        <f t="shared" si="43"/>
        <v>0</v>
      </c>
      <c r="T50" s="274">
        <f t="shared" si="44"/>
        <v>0</v>
      </c>
      <c r="U50" s="274">
        <f t="shared" si="45"/>
        <v>0</v>
      </c>
      <c r="V50" s="274">
        <f t="shared" si="46"/>
        <v>0</v>
      </c>
      <c r="W50" s="274">
        <f t="shared" si="47"/>
        <v>0</v>
      </c>
      <c r="X50" s="274">
        <f t="shared" si="48"/>
        <v>0</v>
      </c>
      <c r="Y50" s="274">
        <f t="shared" si="49"/>
        <v>0</v>
      </c>
      <c r="Z50" s="274">
        <f t="shared" si="51"/>
        <v>0</v>
      </c>
    </row>
    <row r="51" spans="1:147" ht="13.5" thickBot="1">
      <c r="A51" s="262" t="str">
        <f>+'Resumen Sprints'!A49</f>
        <v>Analisis incidencias</v>
      </c>
      <c r="B51" s="306" t="s">
        <v>114</v>
      </c>
      <c r="C51" s="219">
        <f t="shared" si="11"/>
        <v>8</v>
      </c>
      <c r="D51" s="267">
        <f t="shared" si="31"/>
        <v>5</v>
      </c>
      <c r="E51" s="137" t="s">
        <v>40</v>
      </c>
      <c r="F51" s="273">
        <f>+'Resumen Sprints'!I49</f>
        <v>5</v>
      </c>
      <c r="G51" s="274">
        <f t="shared" si="32"/>
        <v>5</v>
      </c>
      <c r="H51" s="274">
        <f t="shared" si="50"/>
        <v>5</v>
      </c>
      <c r="I51" s="274">
        <f t="shared" si="33"/>
        <v>5</v>
      </c>
      <c r="J51" s="274">
        <f t="shared" si="34"/>
        <v>5</v>
      </c>
      <c r="K51" s="274">
        <f t="shared" si="35"/>
        <v>5</v>
      </c>
      <c r="L51" s="274">
        <f t="shared" si="36"/>
        <v>5</v>
      </c>
      <c r="M51" s="274">
        <f t="shared" si="37"/>
        <v>5</v>
      </c>
      <c r="N51" s="274">
        <f t="shared" si="38"/>
        <v>5</v>
      </c>
      <c r="O51" s="274">
        <f t="shared" si="39"/>
        <v>5</v>
      </c>
      <c r="P51" s="274">
        <f t="shared" si="40"/>
        <v>5</v>
      </c>
      <c r="Q51" s="274">
        <f t="shared" si="41"/>
        <v>5</v>
      </c>
      <c r="R51" s="274">
        <f t="shared" si="42"/>
        <v>5</v>
      </c>
      <c r="S51" s="274">
        <f t="shared" si="43"/>
        <v>5</v>
      </c>
      <c r="T51" s="274">
        <f t="shared" si="44"/>
        <v>5</v>
      </c>
      <c r="U51" s="274">
        <f t="shared" si="45"/>
        <v>5</v>
      </c>
      <c r="V51" s="274">
        <f t="shared" si="46"/>
        <v>5</v>
      </c>
      <c r="W51" s="274">
        <f t="shared" si="47"/>
        <v>5</v>
      </c>
      <c r="X51" s="274">
        <f t="shared" si="48"/>
        <v>5</v>
      </c>
      <c r="Y51" s="274">
        <f t="shared" si="49"/>
        <v>5</v>
      </c>
      <c r="Z51" s="274">
        <f t="shared" si="51"/>
        <v>5</v>
      </c>
    </row>
    <row r="52" spans="1:147" ht="13.5" thickBot="1">
      <c r="A52" s="262" t="str">
        <f>+'Resumen Sprints'!A50</f>
        <v>Analisis Ordenes</v>
      </c>
      <c r="B52" s="306" t="s">
        <v>114</v>
      </c>
      <c r="C52" s="219">
        <f t="shared" si="11"/>
        <v>8</v>
      </c>
      <c r="D52" s="267">
        <f t="shared" si="31"/>
        <v>6</v>
      </c>
      <c r="E52" s="137" t="s">
        <v>40</v>
      </c>
      <c r="F52" s="273">
        <f>+'Resumen Sprints'!I50</f>
        <v>6</v>
      </c>
      <c r="G52" s="274">
        <f t="shared" si="32"/>
        <v>6</v>
      </c>
      <c r="H52" s="274">
        <f t="shared" si="50"/>
        <v>6</v>
      </c>
      <c r="I52" s="274">
        <f t="shared" si="33"/>
        <v>6</v>
      </c>
      <c r="J52" s="274">
        <f t="shared" si="34"/>
        <v>6</v>
      </c>
      <c r="K52" s="274">
        <f t="shared" si="35"/>
        <v>6</v>
      </c>
      <c r="L52" s="274">
        <f t="shared" si="36"/>
        <v>6</v>
      </c>
      <c r="M52" s="274">
        <f t="shared" si="37"/>
        <v>6</v>
      </c>
      <c r="N52" s="274">
        <f t="shared" si="38"/>
        <v>6</v>
      </c>
      <c r="O52" s="274">
        <f t="shared" si="39"/>
        <v>6</v>
      </c>
      <c r="P52" s="274">
        <f t="shared" si="40"/>
        <v>6</v>
      </c>
      <c r="Q52" s="274">
        <f t="shared" si="41"/>
        <v>6</v>
      </c>
      <c r="R52" s="274">
        <f t="shared" si="42"/>
        <v>6</v>
      </c>
      <c r="S52" s="274">
        <f t="shared" si="43"/>
        <v>6</v>
      </c>
      <c r="T52" s="274">
        <f t="shared" si="44"/>
        <v>6</v>
      </c>
      <c r="U52" s="274">
        <f t="shared" si="45"/>
        <v>6</v>
      </c>
      <c r="V52" s="274">
        <f t="shared" si="46"/>
        <v>6</v>
      </c>
      <c r="W52" s="274">
        <f t="shared" si="47"/>
        <v>6</v>
      </c>
      <c r="X52" s="274">
        <f t="shared" si="48"/>
        <v>6</v>
      </c>
      <c r="Y52" s="274">
        <f t="shared" si="49"/>
        <v>6</v>
      </c>
      <c r="Z52" s="274">
        <f t="shared" si="51"/>
        <v>6</v>
      </c>
    </row>
    <row r="53" spans="1:147" ht="13.5" thickBot="1">
      <c r="A53" s="261" t="str">
        <f>+'Resumen Sprints'!A51</f>
        <v xml:space="preserve">Testing </v>
      </c>
      <c r="B53" s="195" t="s">
        <v>118</v>
      </c>
      <c r="C53" s="219">
        <f t="shared" si="11"/>
        <v>1</v>
      </c>
      <c r="D53" s="267">
        <f t="shared" si="31"/>
        <v>10</v>
      </c>
      <c r="E53" s="137" t="s">
        <v>40</v>
      </c>
      <c r="F53" s="273">
        <f>+'Resumen Sprints'!I51</f>
        <v>60</v>
      </c>
      <c r="G53" s="274">
        <f t="shared" si="32"/>
        <v>60</v>
      </c>
      <c r="H53" s="274">
        <f t="shared" si="50"/>
        <v>60</v>
      </c>
      <c r="I53" s="274">
        <f t="shared" si="33"/>
        <v>60</v>
      </c>
      <c r="J53" s="274">
        <f t="shared" si="34"/>
        <v>60</v>
      </c>
      <c r="K53" s="274">
        <f t="shared" si="35"/>
        <v>60</v>
      </c>
      <c r="L53" s="274">
        <v>10</v>
      </c>
      <c r="M53" s="274">
        <f t="shared" si="37"/>
        <v>10</v>
      </c>
      <c r="N53" s="274">
        <f t="shared" si="38"/>
        <v>10</v>
      </c>
      <c r="O53" s="274">
        <f t="shared" si="39"/>
        <v>10</v>
      </c>
      <c r="P53" s="274">
        <f t="shared" si="40"/>
        <v>10</v>
      </c>
      <c r="Q53" s="274">
        <f t="shared" si="41"/>
        <v>10</v>
      </c>
      <c r="R53" s="274">
        <f t="shared" si="42"/>
        <v>10</v>
      </c>
      <c r="S53" s="274">
        <f t="shared" si="43"/>
        <v>10</v>
      </c>
      <c r="T53" s="274">
        <f t="shared" si="44"/>
        <v>10</v>
      </c>
      <c r="U53" s="274">
        <f t="shared" si="45"/>
        <v>10</v>
      </c>
      <c r="V53" s="274">
        <f t="shared" si="46"/>
        <v>10</v>
      </c>
      <c r="W53" s="274">
        <f t="shared" si="47"/>
        <v>10</v>
      </c>
      <c r="X53" s="274">
        <f t="shared" si="48"/>
        <v>10</v>
      </c>
      <c r="Y53" s="274">
        <f t="shared" si="49"/>
        <v>10</v>
      </c>
      <c r="Z53" s="274">
        <f t="shared" si="51"/>
        <v>10</v>
      </c>
    </row>
    <row r="54" spans="1:147" ht="13.5" thickBot="1">
      <c r="A54" s="256" t="str">
        <f>+'Resumen Sprints'!A52</f>
        <v>Correcciones y DOC entrega</v>
      </c>
      <c r="B54" s="195" t="s">
        <v>118</v>
      </c>
      <c r="C54" s="219">
        <f t="shared" ref="C54:C62" si="52">VLOOKUP(B54,$AL$69:$AM$86,2,0)</f>
        <v>1</v>
      </c>
      <c r="D54" s="267">
        <f t="shared" ref="D54:D63" si="53">+Z54</f>
        <v>11</v>
      </c>
      <c r="E54" s="137" t="s">
        <v>40</v>
      </c>
      <c r="F54" s="273">
        <f>+'Resumen Sprints'!I52</f>
        <v>28</v>
      </c>
      <c r="G54" s="274">
        <f t="shared" si="32"/>
        <v>28</v>
      </c>
      <c r="H54" s="274">
        <f t="shared" si="50"/>
        <v>28</v>
      </c>
      <c r="I54" s="274">
        <f t="shared" si="33"/>
        <v>28</v>
      </c>
      <c r="J54" s="274">
        <f t="shared" si="34"/>
        <v>28</v>
      </c>
      <c r="K54" s="274">
        <f t="shared" si="35"/>
        <v>28</v>
      </c>
      <c r="L54" s="274">
        <v>11</v>
      </c>
      <c r="M54" s="274">
        <f t="shared" si="37"/>
        <v>11</v>
      </c>
      <c r="N54" s="274">
        <f t="shared" si="38"/>
        <v>11</v>
      </c>
      <c r="O54" s="274">
        <f t="shared" si="39"/>
        <v>11</v>
      </c>
      <c r="P54" s="274">
        <f t="shared" si="40"/>
        <v>11</v>
      </c>
      <c r="Q54" s="274">
        <f t="shared" si="41"/>
        <v>11</v>
      </c>
      <c r="R54" s="274">
        <f t="shared" si="42"/>
        <v>11</v>
      </c>
      <c r="S54" s="274">
        <f t="shared" si="43"/>
        <v>11</v>
      </c>
      <c r="T54" s="274">
        <f t="shared" si="44"/>
        <v>11</v>
      </c>
      <c r="U54" s="274">
        <f t="shared" si="45"/>
        <v>11</v>
      </c>
      <c r="V54" s="274">
        <f t="shared" si="46"/>
        <v>11</v>
      </c>
      <c r="W54" s="274">
        <f t="shared" si="47"/>
        <v>11</v>
      </c>
      <c r="X54" s="274">
        <f t="shared" si="48"/>
        <v>11</v>
      </c>
      <c r="Y54" s="274">
        <f t="shared" si="49"/>
        <v>11</v>
      </c>
      <c r="Z54" s="274">
        <f t="shared" si="51"/>
        <v>11</v>
      </c>
    </row>
    <row r="55" spans="1:147" ht="13.5" thickBot="1">
      <c r="A55" s="186" t="str">
        <f>+'Resumen Sprints'!A53</f>
        <v xml:space="preserve">  </v>
      </c>
      <c r="B55" s="214" t="s">
        <v>38</v>
      </c>
      <c r="C55" s="219">
        <f t="shared" si="52"/>
        <v>0</v>
      </c>
      <c r="D55" s="267">
        <f t="shared" si="53"/>
        <v>0</v>
      </c>
      <c r="E55" s="137" t="s">
        <v>40</v>
      </c>
      <c r="F55" s="273">
        <f>+'Resumen Sprints'!I53</f>
        <v>0</v>
      </c>
      <c r="G55" s="274">
        <f t="shared" si="32"/>
        <v>0</v>
      </c>
      <c r="H55" s="274">
        <f t="shared" si="50"/>
        <v>0</v>
      </c>
      <c r="I55" s="274">
        <f t="shared" si="33"/>
        <v>0</v>
      </c>
      <c r="J55" s="274">
        <f t="shared" si="34"/>
        <v>0</v>
      </c>
      <c r="K55" s="274">
        <f t="shared" si="35"/>
        <v>0</v>
      </c>
      <c r="L55" s="274">
        <f t="shared" si="36"/>
        <v>0</v>
      </c>
      <c r="M55" s="274">
        <f t="shared" si="37"/>
        <v>0</v>
      </c>
      <c r="N55" s="274">
        <f t="shared" si="38"/>
        <v>0</v>
      </c>
      <c r="O55" s="274">
        <f t="shared" si="39"/>
        <v>0</v>
      </c>
      <c r="P55" s="274">
        <f t="shared" si="40"/>
        <v>0</v>
      </c>
      <c r="Q55" s="274">
        <f t="shared" si="41"/>
        <v>0</v>
      </c>
      <c r="R55" s="274">
        <f t="shared" si="42"/>
        <v>0</v>
      </c>
      <c r="S55" s="274">
        <f t="shared" si="43"/>
        <v>0</v>
      </c>
      <c r="T55" s="274">
        <f t="shared" si="44"/>
        <v>0</v>
      </c>
      <c r="U55" s="274">
        <f t="shared" si="45"/>
        <v>0</v>
      </c>
      <c r="V55" s="274">
        <f t="shared" si="46"/>
        <v>0</v>
      </c>
      <c r="W55" s="274">
        <f t="shared" si="47"/>
        <v>0</v>
      </c>
      <c r="X55" s="274">
        <f t="shared" si="48"/>
        <v>0</v>
      </c>
      <c r="Y55" s="274">
        <f t="shared" si="49"/>
        <v>0</v>
      </c>
      <c r="Z55" s="274">
        <f t="shared" si="51"/>
        <v>0</v>
      </c>
    </row>
    <row r="56" spans="1:147" ht="13.5" thickBot="1">
      <c r="A56" s="215" t="str">
        <f>+'Resumen Sprints'!A54</f>
        <v>Buffer CCPM   50 hs</v>
      </c>
      <c r="B56" s="214" t="s">
        <v>38</v>
      </c>
      <c r="C56" s="219">
        <f t="shared" si="52"/>
        <v>0</v>
      </c>
      <c r="D56" s="267">
        <f t="shared" si="53"/>
        <v>0</v>
      </c>
      <c r="E56" s="137" t="s">
        <v>40</v>
      </c>
      <c r="F56" s="273">
        <f>+'Resumen Sprints'!I54</f>
        <v>0</v>
      </c>
      <c r="G56" s="274">
        <f t="shared" si="32"/>
        <v>0</v>
      </c>
      <c r="H56" s="274">
        <f t="shared" si="50"/>
        <v>0</v>
      </c>
      <c r="I56" s="274">
        <f t="shared" si="33"/>
        <v>0</v>
      </c>
      <c r="J56" s="274">
        <f t="shared" si="34"/>
        <v>0</v>
      </c>
      <c r="K56" s="274">
        <f t="shared" si="35"/>
        <v>0</v>
      </c>
      <c r="L56" s="274">
        <f t="shared" si="36"/>
        <v>0</v>
      </c>
      <c r="M56" s="274">
        <f t="shared" si="37"/>
        <v>0</v>
      </c>
      <c r="N56" s="274">
        <f t="shared" si="38"/>
        <v>0</v>
      </c>
      <c r="O56" s="274">
        <f t="shared" si="39"/>
        <v>0</v>
      </c>
      <c r="P56" s="274">
        <f t="shared" si="40"/>
        <v>0</v>
      </c>
      <c r="Q56" s="274">
        <f t="shared" si="41"/>
        <v>0</v>
      </c>
      <c r="R56" s="274">
        <f t="shared" si="42"/>
        <v>0</v>
      </c>
      <c r="S56" s="274">
        <f t="shared" si="43"/>
        <v>0</v>
      </c>
      <c r="T56" s="274">
        <f t="shared" si="44"/>
        <v>0</v>
      </c>
      <c r="U56" s="274">
        <f t="shared" si="45"/>
        <v>0</v>
      </c>
      <c r="V56" s="274">
        <f t="shared" si="46"/>
        <v>0</v>
      </c>
      <c r="W56" s="274">
        <f t="shared" si="47"/>
        <v>0</v>
      </c>
      <c r="X56" s="274">
        <f t="shared" si="48"/>
        <v>0</v>
      </c>
      <c r="Y56" s="274">
        <f t="shared" si="49"/>
        <v>0</v>
      </c>
      <c r="Z56" s="274">
        <f t="shared" si="51"/>
        <v>0</v>
      </c>
    </row>
    <row r="57" spans="1:147" ht="13.5" thickBot="1">
      <c r="A57" s="186" t="str">
        <f>+'Resumen Sprints'!A55</f>
        <v>Administracion Proyecto</v>
      </c>
      <c r="B57" s="198" t="s">
        <v>219</v>
      </c>
      <c r="C57" s="219">
        <f t="shared" si="52"/>
        <v>8</v>
      </c>
      <c r="D57" s="267">
        <f t="shared" si="53"/>
        <v>20</v>
      </c>
      <c r="E57" s="137" t="s">
        <v>40</v>
      </c>
      <c r="F57" s="273">
        <f>+'Resumen Sprints'!I55</f>
        <v>50</v>
      </c>
      <c r="G57" s="274">
        <f t="shared" si="32"/>
        <v>50</v>
      </c>
      <c r="H57" s="274">
        <f t="shared" si="50"/>
        <v>50</v>
      </c>
      <c r="I57" s="274">
        <f t="shared" si="33"/>
        <v>50</v>
      </c>
      <c r="J57" s="274">
        <f t="shared" si="34"/>
        <v>50</v>
      </c>
      <c r="K57" s="274">
        <f t="shared" si="35"/>
        <v>50</v>
      </c>
      <c r="L57" s="274">
        <v>20</v>
      </c>
      <c r="M57" s="274">
        <f t="shared" si="37"/>
        <v>20</v>
      </c>
      <c r="N57" s="274">
        <f t="shared" si="38"/>
        <v>20</v>
      </c>
      <c r="O57" s="274">
        <f t="shared" si="39"/>
        <v>20</v>
      </c>
      <c r="P57" s="274">
        <f t="shared" si="40"/>
        <v>20</v>
      </c>
      <c r="Q57" s="274">
        <f t="shared" si="41"/>
        <v>20</v>
      </c>
      <c r="R57" s="274">
        <f t="shared" si="42"/>
        <v>20</v>
      </c>
      <c r="S57" s="274">
        <f t="shared" si="43"/>
        <v>20</v>
      </c>
      <c r="T57" s="274">
        <f t="shared" si="44"/>
        <v>20</v>
      </c>
      <c r="U57" s="274">
        <f t="shared" si="45"/>
        <v>20</v>
      </c>
      <c r="V57" s="274">
        <f t="shared" si="46"/>
        <v>20</v>
      </c>
      <c r="W57" s="274">
        <f t="shared" si="47"/>
        <v>20</v>
      </c>
      <c r="X57" s="274">
        <f t="shared" si="48"/>
        <v>20</v>
      </c>
      <c r="Y57" s="274">
        <f t="shared" si="49"/>
        <v>20</v>
      </c>
      <c r="Z57" s="274">
        <f t="shared" si="51"/>
        <v>20</v>
      </c>
    </row>
    <row r="58" spans="1:147" ht="13.5" thickBot="1">
      <c r="A58" s="200" t="str">
        <f>+'Resumen Sprints'!A56</f>
        <v xml:space="preserve">    </v>
      </c>
      <c r="B58" s="198" t="s">
        <v>38</v>
      </c>
      <c r="C58" s="219">
        <f t="shared" si="52"/>
        <v>0</v>
      </c>
      <c r="D58" s="267">
        <f t="shared" si="53"/>
        <v>0</v>
      </c>
      <c r="E58" s="137" t="s">
        <v>40</v>
      </c>
      <c r="F58" s="273">
        <f>+'Resumen Sprints'!I56</f>
        <v>0</v>
      </c>
      <c r="G58" s="274">
        <f t="shared" si="32"/>
        <v>0</v>
      </c>
      <c r="H58" s="274">
        <f t="shared" si="50"/>
        <v>0</v>
      </c>
      <c r="I58" s="274">
        <f t="shared" si="33"/>
        <v>0</v>
      </c>
      <c r="J58" s="274">
        <f t="shared" si="34"/>
        <v>0</v>
      </c>
      <c r="K58" s="274">
        <f t="shared" si="35"/>
        <v>0</v>
      </c>
      <c r="L58" s="274">
        <f t="shared" si="36"/>
        <v>0</v>
      </c>
      <c r="M58" s="274">
        <f t="shared" si="37"/>
        <v>0</v>
      </c>
      <c r="N58" s="274">
        <f t="shared" si="38"/>
        <v>0</v>
      </c>
      <c r="O58" s="274">
        <f t="shared" si="39"/>
        <v>0</v>
      </c>
      <c r="P58" s="274">
        <f t="shared" si="40"/>
        <v>0</v>
      </c>
      <c r="Q58" s="274">
        <f t="shared" si="41"/>
        <v>0</v>
      </c>
      <c r="R58" s="274">
        <f t="shared" si="42"/>
        <v>0</v>
      </c>
      <c r="S58" s="274">
        <f t="shared" si="43"/>
        <v>0</v>
      </c>
      <c r="T58" s="274">
        <f t="shared" si="44"/>
        <v>0</v>
      </c>
      <c r="U58" s="274">
        <f t="shared" si="45"/>
        <v>0</v>
      </c>
      <c r="V58" s="274">
        <f t="shared" si="46"/>
        <v>0</v>
      </c>
      <c r="W58" s="274">
        <f t="shared" si="47"/>
        <v>0</v>
      </c>
      <c r="X58" s="274">
        <f t="shared" si="48"/>
        <v>0</v>
      </c>
      <c r="Y58" s="274">
        <f t="shared" si="49"/>
        <v>0</v>
      </c>
      <c r="Z58" s="274">
        <f t="shared" si="51"/>
        <v>0</v>
      </c>
    </row>
    <row r="59" spans="1:147" ht="13.5" thickBot="1">
      <c r="A59" s="200" t="str">
        <f>+'Resumen Sprints'!A57</f>
        <v xml:space="preserve">  </v>
      </c>
      <c r="B59" s="198" t="s">
        <v>38</v>
      </c>
      <c r="C59" s="219">
        <f t="shared" si="52"/>
        <v>0</v>
      </c>
      <c r="D59" s="267">
        <f t="shared" si="53"/>
        <v>0</v>
      </c>
      <c r="E59" s="137" t="s">
        <v>40</v>
      </c>
      <c r="F59" s="273">
        <f>+'Resumen Sprints'!I57</f>
        <v>0</v>
      </c>
      <c r="G59" s="274">
        <f t="shared" si="32"/>
        <v>0</v>
      </c>
      <c r="H59" s="274">
        <f t="shared" si="50"/>
        <v>0</v>
      </c>
      <c r="I59" s="274">
        <f t="shared" si="33"/>
        <v>0</v>
      </c>
      <c r="J59" s="274">
        <f t="shared" si="34"/>
        <v>0</v>
      </c>
      <c r="K59" s="274">
        <f t="shared" si="35"/>
        <v>0</v>
      </c>
      <c r="L59" s="274">
        <f t="shared" si="36"/>
        <v>0</v>
      </c>
      <c r="M59" s="274">
        <f t="shared" si="37"/>
        <v>0</v>
      </c>
      <c r="N59" s="274">
        <f t="shared" si="38"/>
        <v>0</v>
      </c>
      <c r="O59" s="274">
        <f t="shared" si="39"/>
        <v>0</v>
      </c>
      <c r="P59" s="274">
        <f t="shared" si="40"/>
        <v>0</v>
      </c>
      <c r="Q59" s="274">
        <f t="shared" si="41"/>
        <v>0</v>
      </c>
      <c r="R59" s="274">
        <f t="shared" si="42"/>
        <v>0</v>
      </c>
      <c r="S59" s="274">
        <f t="shared" si="43"/>
        <v>0</v>
      </c>
      <c r="T59" s="274">
        <f t="shared" si="44"/>
        <v>0</v>
      </c>
      <c r="U59" s="274">
        <f t="shared" si="45"/>
        <v>0</v>
      </c>
      <c r="V59" s="274">
        <f t="shared" si="46"/>
        <v>0</v>
      </c>
      <c r="W59" s="274">
        <f t="shared" si="47"/>
        <v>0</v>
      </c>
      <c r="X59" s="274">
        <f t="shared" si="48"/>
        <v>0</v>
      </c>
      <c r="Y59" s="274">
        <f t="shared" si="49"/>
        <v>0</v>
      </c>
      <c r="Z59" s="274">
        <f t="shared" si="51"/>
        <v>0</v>
      </c>
    </row>
    <row r="60" spans="1:147" ht="13.5" thickBot="1">
      <c r="A60" s="200">
        <f>+'Resumen Sprints'!A58</f>
        <v>0</v>
      </c>
      <c r="B60" s="198" t="s">
        <v>38</v>
      </c>
      <c r="C60" s="219">
        <f t="shared" si="52"/>
        <v>0</v>
      </c>
      <c r="D60" s="267">
        <f t="shared" si="53"/>
        <v>0</v>
      </c>
      <c r="E60" s="137" t="s">
        <v>40</v>
      </c>
      <c r="F60" s="273">
        <f>+'Resumen Sprints'!I58</f>
        <v>0</v>
      </c>
      <c r="G60" s="274">
        <f t="shared" ref="G60:G61" si="54">+F60</f>
        <v>0</v>
      </c>
      <c r="H60" s="274">
        <f t="shared" ref="H60:H61" si="55">+G60</f>
        <v>0</v>
      </c>
      <c r="I60" s="274">
        <f t="shared" ref="I60:I61" si="56">+H60</f>
        <v>0</v>
      </c>
      <c r="J60" s="274">
        <f t="shared" ref="J60:J61" si="57">+I60</f>
        <v>0</v>
      </c>
      <c r="K60" s="274">
        <f t="shared" ref="K60:K61" si="58">+J60</f>
        <v>0</v>
      </c>
      <c r="L60" s="274">
        <f t="shared" ref="L60:L61" si="59">+K60</f>
        <v>0</v>
      </c>
      <c r="M60" s="274">
        <f t="shared" ref="M60:M61" si="60">+L60</f>
        <v>0</v>
      </c>
      <c r="N60" s="274">
        <f t="shared" ref="N60:N61" si="61">+M60</f>
        <v>0</v>
      </c>
      <c r="O60" s="274">
        <f t="shared" ref="O60:O63" si="62">+N60</f>
        <v>0</v>
      </c>
      <c r="P60" s="274">
        <f t="shared" ref="P60:P63" si="63">+O60</f>
        <v>0</v>
      </c>
      <c r="Q60" s="274">
        <f t="shared" ref="Q60:Q63" si="64">+P60</f>
        <v>0</v>
      </c>
      <c r="R60" s="274">
        <f t="shared" ref="R60:R63" si="65">+Q60</f>
        <v>0</v>
      </c>
      <c r="S60" s="274">
        <f t="shared" ref="S60:S63" si="66">+R60</f>
        <v>0</v>
      </c>
      <c r="T60" s="274">
        <f t="shared" ref="T60:T63" si="67">+S60</f>
        <v>0</v>
      </c>
      <c r="U60" s="274">
        <f t="shared" ref="U60:U63" si="68">+T60</f>
        <v>0</v>
      </c>
      <c r="V60" s="274">
        <f t="shared" ref="V60:V63" si="69">+U60</f>
        <v>0</v>
      </c>
      <c r="W60" s="274">
        <f t="shared" ref="W60:W63" si="70">+V60</f>
        <v>0</v>
      </c>
      <c r="X60" s="274">
        <f t="shared" ref="X60:X63" si="71">+W60</f>
        <v>0</v>
      </c>
      <c r="Y60" s="274">
        <f t="shared" ref="Y60:Y63" si="72">+X60</f>
        <v>0</v>
      </c>
      <c r="Z60" s="274">
        <f t="shared" si="51"/>
        <v>0</v>
      </c>
    </row>
    <row r="61" spans="1:147" ht="13.5" thickBot="1">
      <c r="A61" s="200" t="str">
        <f>+'Resumen Sprints'!A59</f>
        <v xml:space="preserve">  </v>
      </c>
      <c r="B61" s="198" t="s">
        <v>38</v>
      </c>
      <c r="C61" s="219">
        <f t="shared" si="52"/>
        <v>0</v>
      </c>
      <c r="D61" s="173">
        <f t="shared" si="53"/>
        <v>0</v>
      </c>
      <c r="E61" s="137" t="s">
        <v>40</v>
      </c>
      <c r="F61" s="273">
        <f>+'Resumen Sprints'!I59</f>
        <v>0</v>
      </c>
      <c r="G61" s="274">
        <f t="shared" si="54"/>
        <v>0</v>
      </c>
      <c r="H61" s="274">
        <f t="shared" si="55"/>
        <v>0</v>
      </c>
      <c r="I61" s="274">
        <f t="shared" si="56"/>
        <v>0</v>
      </c>
      <c r="J61" s="274">
        <f t="shared" si="57"/>
        <v>0</v>
      </c>
      <c r="K61" s="274">
        <f t="shared" si="58"/>
        <v>0</v>
      </c>
      <c r="L61" s="274">
        <f t="shared" si="59"/>
        <v>0</v>
      </c>
      <c r="M61" s="274">
        <f t="shared" si="60"/>
        <v>0</v>
      </c>
      <c r="N61" s="274">
        <f t="shared" si="61"/>
        <v>0</v>
      </c>
      <c r="O61" s="274">
        <f t="shared" si="62"/>
        <v>0</v>
      </c>
      <c r="P61" s="274">
        <f t="shared" si="63"/>
        <v>0</v>
      </c>
      <c r="Q61" s="274">
        <f t="shared" si="64"/>
        <v>0</v>
      </c>
      <c r="R61" s="274">
        <f t="shared" si="65"/>
        <v>0</v>
      </c>
      <c r="S61" s="274">
        <f t="shared" si="66"/>
        <v>0</v>
      </c>
      <c r="T61" s="274">
        <f t="shared" si="67"/>
        <v>0</v>
      </c>
      <c r="U61" s="274">
        <f t="shared" si="68"/>
        <v>0</v>
      </c>
      <c r="V61" s="274">
        <f t="shared" si="69"/>
        <v>0</v>
      </c>
      <c r="W61" s="274">
        <f t="shared" si="70"/>
        <v>0</v>
      </c>
      <c r="X61" s="274">
        <f t="shared" si="71"/>
        <v>0</v>
      </c>
      <c r="Y61" s="274">
        <f t="shared" si="72"/>
        <v>0</v>
      </c>
      <c r="Z61" s="274">
        <f t="shared" si="51"/>
        <v>0</v>
      </c>
    </row>
    <row r="62" spans="1:147" ht="13.5" thickBot="1">
      <c r="A62" s="184" t="str">
        <f>+'Resumen Sprints'!A60</f>
        <v xml:space="preserve">            </v>
      </c>
      <c r="B62" s="198" t="s">
        <v>38</v>
      </c>
      <c r="C62" s="219">
        <f t="shared" si="52"/>
        <v>0</v>
      </c>
      <c r="D62" s="173">
        <f t="shared" si="53"/>
        <v>0</v>
      </c>
      <c r="E62" s="137" t="s">
        <v>40</v>
      </c>
      <c r="F62" s="273">
        <f>+'Resumen Sprints'!I60</f>
        <v>0</v>
      </c>
      <c r="G62" s="274">
        <f t="shared" ref="G62" si="73">+F62</f>
        <v>0</v>
      </c>
      <c r="H62" s="274">
        <f t="shared" ref="H62:H63" si="74">+G62</f>
        <v>0</v>
      </c>
      <c r="I62" s="274">
        <f t="shared" ref="I62:I63" si="75">+H62</f>
        <v>0</v>
      </c>
      <c r="J62" s="274">
        <f t="shared" ref="J62:J63" si="76">+I62</f>
        <v>0</v>
      </c>
      <c r="K62" s="274">
        <f t="shared" ref="K62:K63" si="77">+J62</f>
        <v>0</v>
      </c>
      <c r="L62" s="274">
        <f t="shared" ref="L62:L63" si="78">+K62</f>
        <v>0</v>
      </c>
      <c r="M62" s="274">
        <f t="shared" ref="M62:M63" si="79">+L62</f>
        <v>0</v>
      </c>
      <c r="N62" s="274">
        <f t="shared" ref="N62:N63" si="80">+M62</f>
        <v>0</v>
      </c>
      <c r="O62" s="274">
        <f t="shared" si="62"/>
        <v>0</v>
      </c>
      <c r="P62" s="274">
        <f t="shared" si="63"/>
        <v>0</v>
      </c>
      <c r="Q62" s="274">
        <f t="shared" si="64"/>
        <v>0</v>
      </c>
      <c r="R62" s="274">
        <f t="shared" si="65"/>
        <v>0</v>
      </c>
      <c r="S62" s="274">
        <f t="shared" si="66"/>
        <v>0</v>
      </c>
      <c r="T62" s="274">
        <f t="shared" si="67"/>
        <v>0</v>
      </c>
      <c r="U62" s="274">
        <f t="shared" si="68"/>
        <v>0</v>
      </c>
      <c r="V62" s="274">
        <f t="shared" si="69"/>
        <v>0</v>
      </c>
      <c r="W62" s="274">
        <f t="shared" si="70"/>
        <v>0</v>
      </c>
      <c r="X62" s="274">
        <f t="shared" si="71"/>
        <v>0</v>
      </c>
      <c r="Y62" s="274">
        <f t="shared" si="72"/>
        <v>0</v>
      </c>
      <c r="Z62" s="274">
        <f t="shared" si="51"/>
        <v>0</v>
      </c>
    </row>
    <row r="63" spans="1:147">
      <c r="D63" s="317">
        <f t="shared" si="53"/>
        <v>4.5507692307692196</v>
      </c>
      <c r="F63" s="243"/>
      <c r="G63" s="243">
        <f>+F26-G26</f>
        <v>4.5507692307692196</v>
      </c>
      <c r="H63" s="243">
        <f t="shared" si="74"/>
        <v>4.5507692307692196</v>
      </c>
      <c r="I63" s="243">
        <f t="shared" si="75"/>
        <v>4.5507692307692196</v>
      </c>
      <c r="J63" s="243">
        <f t="shared" si="76"/>
        <v>4.5507692307692196</v>
      </c>
      <c r="K63" s="243">
        <f t="shared" si="77"/>
        <v>4.5507692307692196</v>
      </c>
      <c r="L63" s="243">
        <f t="shared" si="78"/>
        <v>4.5507692307692196</v>
      </c>
      <c r="M63" s="243">
        <f t="shared" si="79"/>
        <v>4.5507692307692196</v>
      </c>
      <c r="N63" s="243">
        <f t="shared" si="80"/>
        <v>4.5507692307692196</v>
      </c>
      <c r="O63" s="243">
        <f t="shared" si="62"/>
        <v>4.5507692307692196</v>
      </c>
      <c r="P63" s="243">
        <f t="shared" si="63"/>
        <v>4.5507692307692196</v>
      </c>
      <c r="Q63" s="243">
        <f t="shared" si="64"/>
        <v>4.5507692307692196</v>
      </c>
      <c r="R63" s="243">
        <f t="shared" si="65"/>
        <v>4.5507692307692196</v>
      </c>
      <c r="S63" s="243">
        <f t="shared" si="66"/>
        <v>4.5507692307692196</v>
      </c>
      <c r="T63" s="243">
        <f t="shared" si="67"/>
        <v>4.5507692307692196</v>
      </c>
      <c r="U63" s="243">
        <f t="shared" si="68"/>
        <v>4.5507692307692196</v>
      </c>
      <c r="V63" s="243">
        <f t="shared" si="69"/>
        <v>4.5507692307692196</v>
      </c>
      <c r="W63" s="243">
        <f t="shared" si="70"/>
        <v>4.5507692307692196</v>
      </c>
      <c r="X63" s="243">
        <f t="shared" si="71"/>
        <v>4.5507692307692196</v>
      </c>
      <c r="Y63" s="243">
        <f t="shared" si="72"/>
        <v>4.5507692307692196</v>
      </c>
      <c r="Z63" s="243">
        <f t="shared" si="51"/>
        <v>4.5507692307692196</v>
      </c>
    </row>
    <row r="67" spans="1:40">
      <c r="AG67" s="143" t="s">
        <v>39</v>
      </c>
      <c r="AH67" s="6"/>
      <c r="AK67" s="561" t="s">
        <v>35</v>
      </c>
      <c r="AL67" s="561"/>
      <c r="AM67" s="561"/>
    </row>
    <row r="68" spans="1:40" ht="13.5" thickBot="1">
      <c r="A68" s="1"/>
      <c r="B68" s="1"/>
      <c r="C68" s="1"/>
      <c r="D68" s="1"/>
      <c r="E68" s="30"/>
      <c r="F68" s="129">
        <f>+F17</f>
        <v>39919</v>
      </c>
      <c r="G68" s="129">
        <f>+G17</f>
        <v>39920</v>
      </c>
      <c r="H68" s="129">
        <f t="shared" ref="H68:V68" si="81">+H17</f>
        <v>39921</v>
      </c>
      <c r="I68" s="129">
        <f t="shared" si="81"/>
        <v>39922</v>
      </c>
      <c r="J68" s="129">
        <f t="shared" si="81"/>
        <v>39923</v>
      </c>
      <c r="K68" s="129">
        <f t="shared" si="81"/>
        <v>39924</v>
      </c>
      <c r="L68" s="129">
        <f t="shared" si="81"/>
        <v>39925</v>
      </c>
      <c r="M68" s="129">
        <f t="shared" si="81"/>
        <v>39926</v>
      </c>
      <c r="N68" s="129">
        <f t="shared" si="81"/>
        <v>39927</v>
      </c>
      <c r="O68" s="129">
        <f t="shared" si="81"/>
        <v>39928</v>
      </c>
      <c r="P68" s="129">
        <f t="shared" si="81"/>
        <v>39929</v>
      </c>
      <c r="Q68" s="129">
        <f t="shared" si="81"/>
        <v>39930</v>
      </c>
      <c r="R68" s="129">
        <f t="shared" si="81"/>
        <v>39931</v>
      </c>
      <c r="S68" s="129">
        <f t="shared" si="81"/>
        <v>39932</v>
      </c>
      <c r="T68" s="129">
        <f t="shared" si="81"/>
        <v>39933</v>
      </c>
      <c r="U68" s="129">
        <f t="shared" si="81"/>
        <v>39934</v>
      </c>
      <c r="V68" s="129">
        <f t="shared" si="81"/>
        <v>39935</v>
      </c>
      <c r="W68" s="129">
        <f>+W17</f>
        <v>39936</v>
      </c>
      <c r="X68" s="129">
        <f>+X17</f>
        <v>39937</v>
      </c>
      <c r="Y68" s="129">
        <f>+Y17</f>
        <v>39938</v>
      </c>
      <c r="Z68" s="129">
        <f>+Z17</f>
        <v>39939</v>
      </c>
      <c r="AG68" s="1" t="s">
        <v>40</v>
      </c>
      <c r="AK68" s="142" t="s">
        <v>22</v>
      </c>
      <c r="AL68" s="142" t="s">
        <v>36</v>
      </c>
      <c r="AM68" s="142" t="s">
        <v>37</v>
      </c>
      <c r="AN68" s="142" t="s">
        <v>208</v>
      </c>
    </row>
    <row r="69" spans="1:40">
      <c r="A69" s="1"/>
      <c r="B69" s="1"/>
      <c r="C69" s="1"/>
      <c r="D69" s="122"/>
      <c r="E69" s="123" t="s">
        <v>58</v>
      </c>
      <c r="F69" s="10">
        <v>0</v>
      </c>
      <c r="G69" s="10">
        <f t="shared" ref="G69:O69" si="82">+F26-G26</f>
        <v>4.5507692307692196</v>
      </c>
      <c r="H69" s="10">
        <f t="shared" si="82"/>
        <v>18.776153846153818</v>
      </c>
      <c r="I69" s="10">
        <f t="shared" si="82"/>
        <v>27</v>
      </c>
      <c r="J69" s="10">
        <f t="shared" si="82"/>
        <v>-5.4492307692307804</v>
      </c>
      <c r="K69" s="10">
        <f t="shared" si="82"/>
        <v>29.753846153846155</v>
      </c>
      <c r="L69" s="10">
        <f t="shared" si="82"/>
        <v>148.25038461538463</v>
      </c>
      <c r="M69" s="10">
        <f t="shared" si="82"/>
        <v>0</v>
      </c>
      <c r="N69" s="10">
        <f t="shared" si="82"/>
        <v>0</v>
      </c>
      <c r="O69" s="10">
        <f t="shared" si="82"/>
        <v>0</v>
      </c>
      <c r="P69" s="10"/>
      <c r="Q69" s="10"/>
      <c r="R69" s="10"/>
      <c r="S69" s="10"/>
      <c r="T69" s="10"/>
      <c r="U69" s="10"/>
      <c r="V69" s="10"/>
      <c r="W69" s="124"/>
      <c r="AG69" s="1" t="s">
        <v>41</v>
      </c>
      <c r="AK69" s="1" t="s">
        <v>38</v>
      </c>
      <c r="AL69" s="1" t="s">
        <v>38</v>
      </c>
      <c r="AM69" s="1">
        <v>0</v>
      </c>
      <c r="AN69">
        <v>40</v>
      </c>
    </row>
    <row r="70" spans="1:40">
      <c r="A70" s="1"/>
      <c r="B70" s="1"/>
      <c r="C70" s="1"/>
      <c r="D70" s="122"/>
      <c r="E70" s="125" t="s">
        <v>80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26"/>
      <c r="AG70" s="1" t="s">
        <v>42</v>
      </c>
      <c r="AK70" s="275" t="s">
        <v>218</v>
      </c>
      <c r="AL70" s="275" t="s">
        <v>219</v>
      </c>
      <c r="AM70" s="1">
        <v>8</v>
      </c>
      <c r="AN70">
        <v>40</v>
      </c>
    </row>
    <row r="71" spans="1:40">
      <c r="A71" s="1"/>
      <c r="B71" s="1"/>
      <c r="C71" s="1"/>
      <c r="D71" s="122"/>
      <c r="E71" s="125" t="s">
        <v>81</v>
      </c>
      <c r="F71" s="1">
        <v>0</v>
      </c>
      <c r="G71" s="1">
        <f>+G69</f>
        <v>4.5507692307692196</v>
      </c>
      <c r="H71" s="1">
        <v>0</v>
      </c>
      <c r="I71" s="1">
        <v>0</v>
      </c>
      <c r="J71" s="1"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26"/>
      <c r="AG71" s="1" t="s">
        <v>43</v>
      </c>
      <c r="AK71" s="1"/>
      <c r="AL71" s="1"/>
      <c r="AM71" s="1"/>
    </row>
    <row r="72" spans="1:40">
      <c r="A72" s="1"/>
      <c r="B72" s="1"/>
      <c r="C72" s="1"/>
      <c r="D72" s="122"/>
      <c r="E72" s="125" t="s">
        <v>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26"/>
      <c r="AK72" s="140" t="s">
        <v>113</v>
      </c>
      <c r="AL72" s="140" t="s">
        <v>114</v>
      </c>
      <c r="AM72" s="1">
        <v>8</v>
      </c>
      <c r="AN72">
        <v>20</v>
      </c>
    </row>
    <row r="73" spans="1:40" ht="13.5" thickBot="1">
      <c r="A73" s="1"/>
      <c r="B73" s="1"/>
      <c r="C73" s="1"/>
      <c r="D73" s="122"/>
      <c r="E73" s="127" t="s">
        <v>79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8"/>
      <c r="AK73" s="140" t="s">
        <v>115</v>
      </c>
      <c r="AL73" s="140" t="s">
        <v>116</v>
      </c>
      <c r="AM73" s="1">
        <v>8</v>
      </c>
      <c r="AN73">
        <v>20</v>
      </c>
    </row>
    <row r="74" spans="1:40">
      <c r="A74" s="1"/>
      <c r="B74" s="1"/>
      <c r="C74" s="1"/>
      <c r="D74" s="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AK74" s="140"/>
      <c r="AL74" s="140"/>
      <c r="AM74" s="1"/>
    </row>
    <row r="75" spans="1:4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K75" s="140" t="s">
        <v>117</v>
      </c>
      <c r="AL75" s="140" t="s">
        <v>118</v>
      </c>
      <c r="AM75" s="140">
        <v>1</v>
      </c>
      <c r="AN75">
        <v>35</v>
      </c>
    </row>
    <row r="76" spans="1:4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AK76" s="275"/>
      <c r="AL76" s="275"/>
      <c r="AM76" s="1"/>
    </row>
    <row r="77" spans="1:4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AK77" s="275"/>
      <c r="AL77" s="275"/>
      <c r="AM77" s="1"/>
    </row>
    <row r="78" spans="1:4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AK78" s="1"/>
      <c r="AL78" s="140" t="s">
        <v>137</v>
      </c>
      <c r="AM78" s="1">
        <v>0</v>
      </c>
    </row>
    <row r="79" spans="1:4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AK79" s="1"/>
      <c r="AL79" s="140" t="s">
        <v>137</v>
      </c>
      <c r="AM79" s="1">
        <v>0</v>
      </c>
    </row>
    <row r="80" spans="1:4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AM81" s="209">
        <f>SUM(AM69:AM80)</f>
        <v>25</v>
      </c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</sheetData>
  <customSheetViews>
    <customSheetView guid="{E581961F-3841-49B1-99AD-716C95AC511A}" scale="90" fitToPage="1" showRuler="0">
      <selection activeCell="I26" sqref="I26"/>
      <pageMargins left="0.75" right="0.75" top="1" bottom="1" header="0" footer="0"/>
      <pageSetup scale="26" orientation="landscape" horizontalDpi="0" verticalDpi="0" r:id="rId1"/>
      <headerFooter alignWithMargins="0"/>
    </customSheetView>
  </customSheetViews>
  <mergeCells count="11">
    <mergeCell ref="AK67:AM67"/>
    <mergeCell ref="A2:B5"/>
    <mergeCell ref="C2:D2"/>
    <mergeCell ref="E2:F2"/>
    <mergeCell ref="C3:D3"/>
    <mergeCell ref="E3:F3"/>
    <mergeCell ref="C4:D4"/>
    <mergeCell ref="E4:F5"/>
    <mergeCell ref="C5:D5"/>
    <mergeCell ref="A6:F6"/>
    <mergeCell ref="F15:H15"/>
  </mergeCells>
  <phoneticPr fontId="4" type="noConversion"/>
  <conditionalFormatting sqref="G27:Z62">
    <cfRule type="expression" dxfId="11" priority="1" stopIfTrue="1">
      <formula>G27 &lt;&gt; F27</formula>
    </cfRule>
    <cfRule type="cellIs" dxfId="10" priority="2" stopIfTrue="1" operator="equal">
      <formula>0</formula>
    </cfRule>
  </conditionalFormatting>
  <conditionalFormatting sqref="X25:Z25 F17:Z17">
    <cfRule type="cellIs" dxfId="9" priority="3" stopIfTrue="1" operator="lessThanOrEqual">
      <formula>$C$9</formula>
    </cfRule>
  </conditionalFormatting>
  <conditionalFormatting sqref="F18:Z18">
    <cfRule type="cellIs" dxfId="8" priority="4" stopIfTrue="1" operator="greaterThan">
      <formula>0</formula>
    </cfRule>
  </conditionalFormatting>
  <dataValidations disablePrompts="1" count="2">
    <dataValidation type="list" allowBlank="1" showInputMessage="1" showErrorMessage="1" sqref="B27:B62">
      <formula1>$AL$69:$AL$79</formula1>
    </dataValidation>
    <dataValidation type="list" allowBlank="1" showInputMessage="1" showErrorMessage="1" sqref="E27:E62">
      <formula1>$AG$68:$AG$71</formula1>
    </dataValidation>
  </dataValidations>
  <pageMargins left="0.75" right="0.75" top="1" bottom="1" header="0" footer="0"/>
  <pageSetup scale="13" orientation="landscape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4:J69"/>
  <sheetViews>
    <sheetView topLeftCell="A10" workbookViewId="0">
      <selection activeCell="L5" sqref="L5"/>
    </sheetView>
  </sheetViews>
  <sheetFormatPr defaultRowHeight="12.75"/>
  <cols>
    <col min="1" max="1" width="30.7109375" bestFit="1" customWidth="1"/>
    <col min="7" max="7" width="9.7109375" customWidth="1"/>
    <col min="8" max="8" width="10.7109375" customWidth="1"/>
  </cols>
  <sheetData>
    <row r="4" spans="1:1" ht="34.5">
      <c r="A4" s="319" t="s">
        <v>216</v>
      </c>
    </row>
    <row r="21" spans="1:10">
      <c r="A21" s="167"/>
      <c r="B21" s="167"/>
      <c r="C21" s="167"/>
      <c r="D21" s="309">
        <f>+'Sprint1 '!D26</f>
        <v>100.55076923076923</v>
      </c>
      <c r="E21" s="309" t="str">
        <f>+'Sprint1 '!E26</f>
        <v>T. Acum</v>
      </c>
      <c r="F21" s="309">
        <f>+'Sprint1 '!F26</f>
        <v>323.43269230769226</v>
      </c>
      <c r="G21" s="314" t="s">
        <v>209</v>
      </c>
      <c r="H21" s="314" t="s">
        <v>210</v>
      </c>
      <c r="I21" s="311" t="s">
        <v>212</v>
      </c>
      <c r="J21" s="311" t="s">
        <v>211</v>
      </c>
    </row>
    <row r="22" spans="1:10">
      <c r="A22" s="1" t="str">
        <f>+'Sprint1 '!A27</f>
        <v>Expediente Personal Clínico Social</v>
      </c>
      <c r="B22" s="1" t="str">
        <f>+'Sprint1 '!B27</f>
        <v>EAN</v>
      </c>
      <c r="C22" s="1">
        <f>+'Sprint1 '!C27</f>
        <v>8</v>
      </c>
      <c r="D22" s="310">
        <f>+'Sprint1 '!D27</f>
        <v>0</v>
      </c>
      <c r="E22" s="310" t="str">
        <f>+'Sprint1 '!E27</f>
        <v>Pendiente</v>
      </c>
      <c r="F22" s="310">
        <f>+'Sprint1 '!F27</f>
        <v>4.5507692307692302</v>
      </c>
      <c r="G22" s="316">
        <f>VLOOKUP(B22,'Sprint1 '!$AL$69:$AN$86,3,0)</f>
        <v>20</v>
      </c>
      <c r="H22" s="315">
        <f>+G22*F22</f>
        <v>91.015384615384605</v>
      </c>
      <c r="I22" s="312">
        <f t="shared" ref="I22:I24" si="0">IF(F22-D22&gt;0,F22-D22,F22)</f>
        <v>4.5507692307692302</v>
      </c>
      <c r="J22" s="313">
        <f>+I22*G22</f>
        <v>91.015384615384605</v>
      </c>
    </row>
    <row r="23" spans="1:10">
      <c r="A23" s="1" t="str">
        <f>+'Sprint1 '!A28</f>
        <v xml:space="preserve">     Arbol de centros</v>
      </c>
      <c r="B23" s="1" t="str">
        <f>+'Sprint1 '!B28</f>
        <v>EAN</v>
      </c>
      <c r="C23" s="1">
        <f>+'Sprint1 '!C28</f>
        <v>8</v>
      </c>
      <c r="D23" s="310">
        <f>+'Sprint1 '!D28</f>
        <v>11</v>
      </c>
      <c r="E23" s="310" t="str">
        <f>+'Sprint1 '!E28</f>
        <v>Pendiente</v>
      </c>
      <c r="F23" s="310">
        <f>+'Sprint1 '!F28</f>
        <v>11.376923076923076</v>
      </c>
      <c r="G23" s="316">
        <f>VLOOKUP(B23,'Sprint1 '!$AL$69:$AN$86,3,0)</f>
        <v>20</v>
      </c>
      <c r="H23" s="315">
        <f t="shared" ref="H23:H57" si="1">+G23*F23</f>
        <v>227.53846153846152</v>
      </c>
      <c r="I23" s="312">
        <f t="shared" si="0"/>
        <v>0.37692307692307558</v>
      </c>
      <c r="J23" s="313">
        <f t="shared" ref="J23:J57" si="2">+I23*G23</f>
        <v>7.5384615384615117</v>
      </c>
    </row>
    <row r="24" spans="1:10">
      <c r="A24" s="1" t="str">
        <f>+'Sprint1 '!A29</f>
        <v xml:space="preserve">     Listado de residentes</v>
      </c>
      <c r="B24" s="1" t="str">
        <f>+'Sprint1 '!B29</f>
        <v>EAN</v>
      </c>
      <c r="C24" s="1">
        <f>+'Sprint1 '!C29</f>
        <v>8</v>
      </c>
      <c r="D24" s="310">
        <f>+'Sprint1 '!D29</f>
        <v>0</v>
      </c>
      <c r="E24" s="310" t="str">
        <f>+'Sprint1 '!E29</f>
        <v>Pendiente</v>
      </c>
      <c r="F24" s="310">
        <f>+'Sprint1 '!F29</f>
        <v>4.5507692307692302</v>
      </c>
      <c r="G24" s="316">
        <f>VLOOKUP(B24,'Sprint1 '!$AL$69:$AN$86,3,0)</f>
        <v>20</v>
      </c>
      <c r="H24" s="315">
        <f t="shared" si="1"/>
        <v>91.015384615384605</v>
      </c>
      <c r="I24" s="312">
        <f t="shared" si="0"/>
        <v>4.5507692307692302</v>
      </c>
      <c r="J24" s="313">
        <f t="shared" si="2"/>
        <v>91.015384615384605</v>
      </c>
    </row>
    <row r="25" spans="1:10">
      <c r="A25" s="1" t="str">
        <f>+'Sprint1 '!A30</f>
        <v xml:space="preserve">     Información general</v>
      </c>
      <c r="B25" s="1" t="str">
        <f>+'Sprint1 '!B30</f>
        <v>EAN</v>
      </c>
      <c r="C25" s="1">
        <f>+'Sprint1 '!C30</f>
        <v>8</v>
      </c>
      <c r="D25" s="310">
        <f>+'Sprint1 '!D30</f>
        <v>9</v>
      </c>
      <c r="E25" s="310" t="str">
        <f>+'Sprint1 '!E30</f>
        <v>Pendiente</v>
      </c>
      <c r="F25" s="310">
        <f>+'Sprint1 '!F30</f>
        <v>5</v>
      </c>
      <c r="G25" s="316">
        <f>VLOOKUP(B25,'Sprint1 '!$AL$69:$AN$86,3,0)</f>
        <v>20</v>
      </c>
      <c r="H25" s="315">
        <f t="shared" si="1"/>
        <v>100</v>
      </c>
      <c r="I25" s="312">
        <f>IF(F25-D25&gt;0,F25-D25,F25)</f>
        <v>5</v>
      </c>
      <c r="J25" s="313">
        <f t="shared" si="2"/>
        <v>100</v>
      </c>
    </row>
    <row r="26" spans="1:10">
      <c r="A26" s="1" t="str">
        <f>+'Sprint1 '!A31</f>
        <v xml:space="preserve">          Visión General</v>
      </c>
      <c r="B26" s="1" t="str">
        <f>+'Sprint1 '!B31</f>
        <v>EAN</v>
      </c>
      <c r="C26" s="1">
        <f>+'Sprint1 '!C31</f>
        <v>8</v>
      </c>
      <c r="D26" s="310">
        <f>+'Sprint1 '!D31</f>
        <v>3</v>
      </c>
      <c r="E26" s="310" t="str">
        <f>+'Sprint1 '!E31</f>
        <v>Pendiente</v>
      </c>
      <c r="F26" s="310">
        <f>+'Sprint1 '!F31</f>
        <v>11.376923076923076</v>
      </c>
      <c r="G26" s="316">
        <f>VLOOKUP(B26,'Sprint1 '!$AL$69:$AN$86,3,0)</f>
        <v>20</v>
      </c>
      <c r="H26" s="315">
        <f t="shared" si="1"/>
        <v>227.53846153846152</v>
      </c>
      <c r="I26" s="312">
        <f t="shared" ref="I26:I57" si="3">IF(F26-D26&gt;0,F26-D26,F26)</f>
        <v>8.3769230769230756</v>
      </c>
      <c r="J26" s="313">
        <f t="shared" si="2"/>
        <v>167.53846153846152</v>
      </c>
    </row>
    <row r="27" spans="1:10">
      <c r="A27" s="1" t="str">
        <f>+'Sprint1 '!A32</f>
        <v xml:space="preserve">          Caidas</v>
      </c>
      <c r="B27" s="1" t="str">
        <f>+'Sprint1 '!B32</f>
        <v>EAN</v>
      </c>
      <c r="C27" s="1">
        <f>+'Sprint1 '!C32</f>
        <v>8</v>
      </c>
      <c r="D27" s="310">
        <f>+'Sprint1 '!D32</f>
        <v>0</v>
      </c>
      <c r="E27" s="310" t="str">
        <f>+'Sprint1 '!E32</f>
        <v>Pendiente</v>
      </c>
      <c r="F27" s="310">
        <f>+'Sprint1 '!F32</f>
        <v>11.376923076923076</v>
      </c>
      <c r="G27" s="316">
        <f>VLOOKUP(B27,'Sprint1 '!$AL$69:$AN$86,3,0)</f>
        <v>20</v>
      </c>
      <c r="H27" s="315">
        <f t="shared" si="1"/>
        <v>227.53846153846152</v>
      </c>
      <c r="I27" s="312">
        <f t="shared" si="3"/>
        <v>11.376923076923076</v>
      </c>
      <c r="J27" s="313">
        <f t="shared" si="2"/>
        <v>227.53846153846152</v>
      </c>
    </row>
    <row r="28" spans="1:10">
      <c r="A28" s="1" t="str">
        <f>+'Sprint1 '!A33</f>
        <v xml:space="preserve">          Incidencas</v>
      </c>
      <c r="B28" s="1" t="str">
        <f>+'Sprint1 '!B33</f>
        <v>EAN</v>
      </c>
      <c r="C28" s="1">
        <f>+'Sprint1 '!C33</f>
        <v>8</v>
      </c>
      <c r="D28" s="310">
        <f>+'Sprint1 '!D33</f>
        <v>0</v>
      </c>
      <c r="E28" s="310" t="str">
        <f>+'Sprint1 '!E33</f>
        <v>Pendiente</v>
      </c>
      <c r="F28" s="310">
        <f>+'Sprint1 '!F33</f>
        <v>5.1196153846153836</v>
      </c>
      <c r="G28" s="316">
        <f>VLOOKUP(B28,'Sprint1 '!$AL$69:$AN$86,3,0)</f>
        <v>20</v>
      </c>
      <c r="H28" s="315">
        <f t="shared" si="1"/>
        <v>102.39230769230767</v>
      </c>
      <c r="I28" s="312">
        <f t="shared" si="3"/>
        <v>5.1196153846153836</v>
      </c>
      <c r="J28" s="313">
        <f t="shared" si="2"/>
        <v>102.39230769230767</v>
      </c>
    </row>
    <row r="29" spans="1:10">
      <c r="A29" s="1" t="str">
        <f>+'Sprint1 '!A34</f>
        <v xml:space="preserve">              Generales</v>
      </c>
      <c r="B29" s="1" t="str">
        <f>+'Sprint1 '!B34</f>
        <v>EAN</v>
      </c>
      <c r="C29" s="1">
        <f>+'Sprint1 '!C34</f>
        <v>8</v>
      </c>
      <c r="D29" s="310">
        <f>+'Sprint1 '!D34</f>
        <v>0</v>
      </c>
      <c r="E29" s="310" t="str">
        <f>+'Sprint1 '!E34</f>
        <v>Pendiente</v>
      </c>
      <c r="F29" s="310">
        <f>+'Sprint1 '!F34</f>
        <v>1.7065384615384613</v>
      </c>
      <c r="G29" s="316">
        <f>VLOOKUP(B29,'Sprint1 '!$AL$69:$AN$86,3,0)</f>
        <v>20</v>
      </c>
      <c r="H29" s="315">
        <f t="shared" si="1"/>
        <v>34.130769230769225</v>
      </c>
      <c r="I29" s="312">
        <f t="shared" si="3"/>
        <v>1.7065384615384613</v>
      </c>
      <c r="J29" s="313">
        <f t="shared" si="2"/>
        <v>34.130769230769225</v>
      </c>
    </row>
    <row r="30" spans="1:10">
      <c r="A30" s="1" t="str">
        <f>+'Sprint1 '!A35</f>
        <v xml:space="preserve">              Tareas</v>
      </c>
      <c r="B30" s="1" t="str">
        <f>+'Sprint1 '!B35</f>
        <v>EAN</v>
      </c>
      <c r="C30" s="1">
        <f>+'Sprint1 '!C35</f>
        <v>8</v>
      </c>
      <c r="D30" s="310">
        <f>+'Sprint1 '!D35</f>
        <v>0</v>
      </c>
      <c r="E30" s="310" t="str">
        <f>+'Sprint1 '!E35</f>
        <v>Pendiente</v>
      </c>
      <c r="F30" s="310">
        <f>+'Sprint1 '!F35</f>
        <v>1.7065384615384613</v>
      </c>
      <c r="G30" s="316">
        <f>VLOOKUP(B30,'Sprint1 '!$AL$69:$AN$86,3,0)</f>
        <v>20</v>
      </c>
      <c r="H30" s="315">
        <f t="shared" si="1"/>
        <v>34.130769230769225</v>
      </c>
      <c r="I30" s="312">
        <f t="shared" si="3"/>
        <v>1.7065384615384613</v>
      </c>
      <c r="J30" s="313">
        <f t="shared" si="2"/>
        <v>34.130769230769225</v>
      </c>
    </row>
    <row r="31" spans="1:10">
      <c r="A31" s="1" t="str">
        <f>+'Sprint1 '!A36</f>
        <v xml:space="preserve">              Alertas Medicación</v>
      </c>
      <c r="B31" s="1" t="str">
        <f>+'Sprint1 '!B36</f>
        <v>EAN</v>
      </c>
      <c r="C31" s="1">
        <f>+'Sprint1 '!C36</f>
        <v>8</v>
      </c>
      <c r="D31" s="310">
        <f>+'Sprint1 '!D36</f>
        <v>0</v>
      </c>
      <c r="E31" s="310" t="str">
        <f>+'Sprint1 '!E36</f>
        <v>Pendiente</v>
      </c>
      <c r="F31" s="310">
        <f>+'Sprint1 '!F36</f>
        <v>1.7065384615384613</v>
      </c>
      <c r="G31" s="316">
        <f>VLOOKUP(B31,'Sprint1 '!$AL$69:$AN$86,3,0)</f>
        <v>20</v>
      </c>
      <c r="H31" s="315">
        <f t="shared" si="1"/>
        <v>34.130769230769225</v>
      </c>
      <c r="I31" s="312">
        <f t="shared" si="3"/>
        <v>1.7065384615384613</v>
      </c>
      <c r="J31" s="313">
        <f t="shared" si="2"/>
        <v>34.130769230769225</v>
      </c>
    </row>
    <row r="32" spans="1:10">
      <c r="A32" s="1" t="str">
        <f>+'Sprint1 '!A37</f>
        <v xml:space="preserve">    Visitas</v>
      </c>
      <c r="B32" s="1" t="str">
        <f>+'Sprint1 '!B37</f>
        <v>EAN</v>
      </c>
      <c r="C32" s="1">
        <f>+'Sprint1 '!C37</f>
        <v>8</v>
      </c>
      <c r="D32" s="310">
        <f>+'Sprint1 '!D37</f>
        <v>0</v>
      </c>
      <c r="E32" s="310" t="str">
        <f>+'Sprint1 '!E37</f>
        <v>Pendiente</v>
      </c>
      <c r="F32" s="310">
        <f>+'Sprint1 '!F37</f>
        <v>11.376923076923076</v>
      </c>
      <c r="G32" s="316">
        <f>VLOOKUP(B32,'Sprint1 '!$AL$69:$AN$86,3,0)</f>
        <v>20</v>
      </c>
      <c r="H32" s="315">
        <f t="shared" si="1"/>
        <v>227.53846153846152</v>
      </c>
      <c r="I32" s="312">
        <f t="shared" si="3"/>
        <v>11.376923076923076</v>
      </c>
      <c r="J32" s="313">
        <f t="shared" si="2"/>
        <v>227.53846153846152</v>
      </c>
    </row>
    <row r="33" spans="1:10">
      <c r="A33" s="1" t="str">
        <f>+'Sprint1 '!A38</f>
        <v>Médico</v>
      </c>
      <c r="B33" s="1" t="str">
        <f>+'Sprint1 '!B38</f>
        <v>NMA</v>
      </c>
      <c r="C33" s="1">
        <f>+'Sprint1 '!C38</f>
        <v>8</v>
      </c>
      <c r="D33" s="310">
        <f>+'Sprint1 '!D38</f>
        <v>0</v>
      </c>
      <c r="E33" s="310" t="str">
        <f>+'Sprint1 '!E38</f>
        <v>Pendiente</v>
      </c>
      <c r="F33" s="310">
        <f>+'Sprint1 '!F38</f>
        <v>4.5507692307692302</v>
      </c>
      <c r="G33" s="316">
        <f>VLOOKUP(B33,'Sprint1 '!$AL$69:$AN$86,3,0)</f>
        <v>20</v>
      </c>
      <c r="H33" s="315">
        <f t="shared" si="1"/>
        <v>91.015384615384605</v>
      </c>
      <c r="I33" s="312">
        <f t="shared" si="3"/>
        <v>4.5507692307692302</v>
      </c>
      <c r="J33" s="313">
        <f t="shared" si="2"/>
        <v>91.015384615384605</v>
      </c>
    </row>
    <row r="34" spans="1:10">
      <c r="A34" s="1" t="str">
        <f>+'Sprint1 '!A39</f>
        <v xml:space="preserve">    Anámnesis</v>
      </c>
      <c r="B34" s="1" t="str">
        <f>+'Sprint1 '!B39</f>
        <v>NMA</v>
      </c>
      <c r="C34" s="1">
        <f>+'Sprint1 '!C39</f>
        <v>8</v>
      </c>
      <c r="D34" s="310">
        <f>+'Sprint1 '!D39</f>
        <v>0</v>
      </c>
      <c r="E34" s="310" t="str">
        <f>+'Sprint1 '!E39</f>
        <v>Pendiente</v>
      </c>
      <c r="F34" s="310">
        <f>+'Sprint1 '!F39</f>
        <v>11.376923076923076</v>
      </c>
      <c r="G34" s="316">
        <f>VLOOKUP(B34,'Sprint1 '!$AL$69:$AN$86,3,0)</f>
        <v>20</v>
      </c>
      <c r="H34" s="315">
        <f t="shared" si="1"/>
        <v>227.53846153846152</v>
      </c>
      <c r="I34" s="312">
        <f t="shared" si="3"/>
        <v>11.376923076923076</v>
      </c>
      <c r="J34" s="313">
        <f t="shared" si="2"/>
        <v>227.53846153846152</v>
      </c>
    </row>
    <row r="35" spans="1:10">
      <c r="A35" s="1" t="str">
        <f>+'Sprint1 '!A40</f>
        <v>Pantalla Incidencias</v>
      </c>
      <c r="B35" s="1" t="str">
        <f>+'Sprint1 '!B40</f>
        <v>NMA</v>
      </c>
      <c r="C35" s="1">
        <f>+'Sprint1 '!C40</f>
        <v>8</v>
      </c>
      <c r="D35" s="310">
        <f>+'Sprint1 '!D40</f>
        <v>10</v>
      </c>
      <c r="E35" s="310" t="str">
        <f>+'Sprint1 '!E40</f>
        <v>Pendiente</v>
      </c>
      <c r="F35" s="310">
        <f>+'Sprint1 '!F40</f>
        <v>20.478461538461534</v>
      </c>
      <c r="G35" s="316">
        <f>VLOOKUP(B35,'Sprint1 '!$AL$69:$AN$86,3,0)</f>
        <v>20</v>
      </c>
      <c r="H35" s="315">
        <f t="shared" si="1"/>
        <v>409.56923076923067</v>
      </c>
      <c r="I35" s="312">
        <f t="shared" si="3"/>
        <v>10.478461538461534</v>
      </c>
      <c r="J35" s="313">
        <f t="shared" si="2"/>
        <v>209.56923076923067</v>
      </c>
    </row>
    <row r="36" spans="1:10">
      <c r="A36" s="1" t="str">
        <f>+'Sprint1 '!A41</f>
        <v xml:space="preserve">     Generales</v>
      </c>
      <c r="B36" s="1" t="str">
        <f>+'Sprint1 '!B41</f>
        <v>NMA</v>
      </c>
      <c r="C36" s="1">
        <f>+'Sprint1 '!C41</f>
        <v>8</v>
      </c>
      <c r="D36" s="310">
        <f>+'Sprint1 '!D41</f>
        <v>4.5507692307692302</v>
      </c>
      <c r="E36" s="310" t="str">
        <f>+'Sprint1 '!E41</f>
        <v>Pendiente</v>
      </c>
      <c r="F36" s="310">
        <f>+'Sprint1 '!F41</f>
        <v>4.5507692307692302</v>
      </c>
      <c r="G36" s="316">
        <f>VLOOKUP(B36,'Sprint1 '!$AL$69:$AN$86,3,0)</f>
        <v>20</v>
      </c>
      <c r="H36" s="315">
        <f t="shared" si="1"/>
        <v>91.015384615384605</v>
      </c>
      <c r="I36" s="312">
        <f t="shared" si="3"/>
        <v>4.5507692307692302</v>
      </c>
      <c r="J36" s="313">
        <f t="shared" si="2"/>
        <v>91.015384615384605</v>
      </c>
    </row>
    <row r="37" spans="1:10">
      <c r="A37" s="1" t="str">
        <f>+'Sprint1 '!A42</f>
        <v xml:space="preserve">     Tareas</v>
      </c>
      <c r="B37" s="1" t="str">
        <f>+'Sprint1 '!B42</f>
        <v>NMA</v>
      </c>
      <c r="C37" s="1">
        <f>+'Sprint1 '!C42</f>
        <v>8</v>
      </c>
      <c r="D37" s="310">
        <f>+'Sprint1 '!D42</f>
        <v>0</v>
      </c>
      <c r="E37" s="310" t="str">
        <f>+'Sprint1 '!E42</f>
        <v>Pendiente</v>
      </c>
      <c r="F37" s="310">
        <f>+'Sprint1 '!F42</f>
        <v>4.5507692307692302</v>
      </c>
      <c r="G37" s="316">
        <f>VLOOKUP(B37,'Sprint1 '!$AL$69:$AN$86,3,0)</f>
        <v>20</v>
      </c>
      <c r="H37" s="315">
        <f t="shared" si="1"/>
        <v>91.015384615384605</v>
      </c>
      <c r="I37" s="312">
        <f t="shared" si="3"/>
        <v>4.5507692307692302</v>
      </c>
      <c r="J37" s="313">
        <f t="shared" si="2"/>
        <v>91.015384615384605</v>
      </c>
    </row>
    <row r="38" spans="1:10">
      <c r="A38" s="1" t="str">
        <f>+'Sprint1 '!A43</f>
        <v xml:space="preserve">     Alertas Medicación</v>
      </c>
      <c r="B38" s="1" t="str">
        <f>+'Sprint1 '!B43</f>
        <v>NMA</v>
      </c>
      <c r="C38" s="1">
        <f>+'Sprint1 '!C43</f>
        <v>8</v>
      </c>
      <c r="D38" s="310">
        <f>+'Sprint1 '!D43</f>
        <v>0</v>
      </c>
      <c r="E38" s="310" t="str">
        <f>+'Sprint1 '!E43</f>
        <v>Pendiente</v>
      </c>
      <c r="F38" s="310">
        <f>+'Sprint1 '!F43</f>
        <v>4.5507692307692302</v>
      </c>
      <c r="G38" s="316">
        <f>VLOOKUP(B38,'Sprint1 '!$AL$69:$AN$86,3,0)</f>
        <v>20</v>
      </c>
      <c r="H38" s="315">
        <f t="shared" si="1"/>
        <v>91.015384615384605</v>
      </c>
      <c r="I38" s="312">
        <f t="shared" si="3"/>
        <v>4.5507692307692302</v>
      </c>
      <c r="J38" s="313">
        <f t="shared" si="2"/>
        <v>91.015384615384605</v>
      </c>
    </row>
    <row r="39" spans="1:10">
      <c r="A39" s="1" t="str">
        <f>+'Sprint1 '!A44</f>
        <v>Pantalla Ordenes Médicas</v>
      </c>
      <c r="B39" s="1" t="str">
        <f>+'Sprint1 '!B44</f>
        <v>NMA</v>
      </c>
      <c r="C39" s="1">
        <f>+'Sprint1 '!C44</f>
        <v>8</v>
      </c>
      <c r="D39" s="310">
        <f>+'Sprint1 '!D44</f>
        <v>11</v>
      </c>
      <c r="E39" s="310" t="str">
        <f>+'Sprint1 '!E44</f>
        <v>Pendiente</v>
      </c>
      <c r="F39" s="310">
        <f>+'Sprint1 '!F44</f>
        <v>11.376923076923076</v>
      </c>
      <c r="G39" s="316">
        <f>VLOOKUP(B39,'Sprint1 '!$AL$69:$AN$86,3,0)</f>
        <v>20</v>
      </c>
      <c r="H39" s="315">
        <f t="shared" si="1"/>
        <v>227.53846153846152</v>
      </c>
      <c r="I39" s="312">
        <f t="shared" si="3"/>
        <v>0.37692307692307558</v>
      </c>
      <c r="J39" s="313">
        <f t="shared" si="2"/>
        <v>7.5384615384615117</v>
      </c>
    </row>
    <row r="40" spans="1:10">
      <c r="A40" s="1" t="str">
        <f>+'Sprint1 '!A45</f>
        <v xml:space="preserve">    Arbol centros</v>
      </c>
      <c r="B40" s="1" t="str">
        <f>+'Sprint1 '!B45</f>
        <v>NMA</v>
      </c>
      <c r="C40" s="1">
        <f>+'Sprint1 '!C45</f>
        <v>8</v>
      </c>
      <c r="D40" s="310">
        <f>+'Sprint1 '!D45</f>
        <v>0</v>
      </c>
      <c r="E40" s="310" t="str">
        <f>+'Sprint1 '!E45</f>
        <v>Pendiente</v>
      </c>
      <c r="F40" s="310">
        <f>+'Sprint1 '!F45</f>
        <v>3.4130769230769227</v>
      </c>
      <c r="G40" s="316">
        <f>VLOOKUP(B40,'Sprint1 '!$AL$69:$AN$86,3,0)</f>
        <v>20</v>
      </c>
      <c r="H40" s="315">
        <f t="shared" si="1"/>
        <v>68.26153846153845</v>
      </c>
      <c r="I40" s="312">
        <f t="shared" si="3"/>
        <v>3.4130769230769227</v>
      </c>
      <c r="J40" s="313">
        <f t="shared" si="2"/>
        <v>68.26153846153845</v>
      </c>
    </row>
    <row r="41" spans="1:10">
      <c r="A41" s="1" t="str">
        <f>+'Sprint1 '!A46</f>
        <v xml:space="preserve">     Listado de residentes</v>
      </c>
      <c r="B41" s="1" t="str">
        <f>+'Sprint1 '!B46</f>
        <v>NMA</v>
      </c>
      <c r="C41" s="1">
        <f>+'Sprint1 '!C46</f>
        <v>8</v>
      </c>
      <c r="D41" s="310">
        <f>+'Sprint1 '!D46</f>
        <v>0</v>
      </c>
      <c r="E41" s="310" t="str">
        <f>+'Sprint1 '!E46</f>
        <v>Pendiente</v>
      </c>
      <c r="F41" s="310">
        <f>+'Sprint1 '!F46</f>
        <v>1.7065384615384613</v>
      </c>
      <c r="G41" s="316">
        <f>VLOOKUP(B41,'Sprint1 '!$AL$69:$AN$86,3,0)</f>
        <v>20</v>
      </c>
      <c r="H41" s="315">
        <f t="shared" si="1"/>
        <v>34.130769230769225</v>
      </c>
      <c r="I41" s="312">
        <f t="shared" si="3"/>
        <v>1.7065384615384613</v>
      </c>
      <c r="J41" s="313">
        <f t="shared" si="2"/>
        <v>34.130769230769225</v>
      </c>
    </row>
    <row r="42" spans="1:10">
      <c r="A42" s="1" t="str">
        <f>+'Sprint1 '!A47</f>
        <v xml:space="preserve">     Arbol abajo izquierdo </v>
      </c>
      <c r="B42" s="1" t="str">
        <f>+'Sprint1 '!B47</f>
        <v>NMA</v>
      </c>
      <c r="C42" s="1">
        <f>+'Sprint1 '!C47</f>
        <v>8</v>
      </c>
      <c r="D42" s="310">
        <f>+'Sprint1 '!D47</f>
        <v>0</v>
      </c>
      <c r="E42" s="310" t="str">
        <f>+'Sprint1 '!E47</f>
        <v>Pendiente</v>
      </c>
      <c r="F42" s="310">
        <f>+'Sprint1 '!F47</f>
        <v>20.478461538461534</v>
      </c>
      <c r="G42" s="316">
        <f>VLOOKUP(B42,'Sprint1 '!$AL$69:$AN$86,3,0)</f>
        <v>20</v>
      </c>
      <c r="H42" s="315">
        <f t="shared" si="1"/>
        <v>409.56923076923067</v>
      </c>
      <c r="I42" s="312">
        <f t="shared" si="3"/>
        <v>20.478461538461534</v>
      </c>
      <c r="J42" s="313">
        <f t="shared" si="2"/>
        <v>409.56923076923067</v>
      </c>
    </row>
    <row r="43" spans="1:10">
      <c r="A43" s="1" t="str">
        <f>+'Sprint1 '!A48</f>
        <v xml:space="preserve">     Detalle de item</v>
      </c>
      <c r="B43" s="1" t="str">
        <f>+'Sprint1 '!B48</f>
        <v>NMA</v>
      </c>
      <c r="C43" s="1">
        <f>+'Sprint1 '!C48</f>
        <v>8</v>
      </c>
      <c r="D43" s="310">
        <f>+'Sprint1 '!D48</f>
        <v>0</v>
      </c>
      <c r="E43" s="310" t="str">
        <f>+'Sprint1 '!E48</f>
        <v>Pendiente</v>
      </c>
      <c r="F43" s="310">
        <f>+'Sprint1 '!F48</f>
        <v>4.5507692307692302</v>
      </c>
      <c r="G43" s="316">
        <f>VLOOKUP(B43,'Sprint1 '!$AL$69:$AN$86,3,0)</f>
        <v>20</v>
      </c>
      <c r="H43" s="315">
        <f t="shared" si="1"/>
        <v>91.015384615384605</v>
      </c>
      <c r="I43" s="312">
        <f t="shared" si="3"/>
        <v>4.5507692307692302</v>
      </c>
      <c r="J43" s="313">
        <f t="shared" si="2"/>
        <v>91.015384615384605</v>
      </c>
    </row>
    <row r="44" spans="1:10">
      <c r="A44" s="1" t="str">
        <f>+'Sprint1 '!A49</f>
        <v>Analsis  Expediente</v>
      </c>
      <c r="B44" s="1" t="str">
        <f>+'Sprint1 '!B49</f>
        <v>NMA</v>
      </c>
      <c r="C44" s="1">
        <f>+'Sprint1 '!C49</f>
        <v>8</v>
      </c>
      <c r="D44" s="310">
        <f>+'Sprint1 '!D49</f>
        <v>0</v>
      </c>
      <c r="E44" s="310" t="str">
        <f>+'Sprint1 '!E49</f>
        <v>Pendiente</v>
      </c>
      <c r="F44" s="310">
        <f>+'Sprint1 '!F49</f>
        <v>10</v>
      </c>
      <c r="G44" s="316">
        <f>VLOOKUP(B44,'Sprint1 '!$AL$69:$AN$86,3,0)</f>
        <v>20</v>
      </c>
      <c r="H44" s="315">
        <f t="shared" si="1"/>
        <v>200</v>
      </c>
      <c r="I44" s="312">
        <f t="shared" si="3"/>
        <v>10</v>
      </c>
      <c r="J44" s="313">
        <f t="shared" si="2"/>
        <v>200</v>
      </c>
    </row>
    <row r="45" spans="1:10">
      <c r="A45" s="1" t="str">
        <f>+'Sprint1 '!A50</f>
        <v>Analisis Medico - solo anamnesis .</v>
      </c>
      <c r="B45" s="1" t="str">
        <f>+'Sprint1 '!B50</f>
        <v>NMA</v>
      </c>
      <c r="C45" s="1">
        <f>+'Sprint1 '!C50</f>
        <v>8</v>
      </c>
      <c r="D45" s="310">
        <f>+'Sprint1 '!D50</f>
        <v>0</v>
      </c>
      <c r="E45" s="310" t="str">
        <f>+'Sprint1 '!E50</f>
        <v>Pendiente</v>
      </c>
      <c r="F45" s="310">
        <f>+'Sprint1 '!F50</f>
        <v>3</v>
      </c>
      <c r="G45" s="316">
        <f>VLOOKUP(B45,'Sprint1 '!$AL$69:$AN$86,3,0)</f>
        <v>20</v>
      </c>
      <c r="H45" s="315">
        <f t="shared" si="1"/>
        <v>60</v>
      </c>
      <c r="I45" s="312">
        <f t="shared" si="3"/>
        <v>3</v>
      </c>
      <c r="J45" s="313">
        <f t="shared" si="2"/>
        <v>60</v>
      </c>
    </row>
    <row r="46" spans="1:10">
      <c r="A46" s="1" t="str">
        <f>+'Sprint1 '!A51</f>
        <v>Analisis incidencias</v>
      </c>
      <c r="B46" s="1" t="str">
        <f>+'Sprint1 '!B51</f>
        <v>NMA</v>
      </c>
      <c r="C46" s="1">
        <f>+'Sprint1 '!C51</f>
        <v>8</v>
      </c>
      <c r="D46" s="310">
        <f>+'Sprint1 '!D51</f>
        <v>5</v>
      </c>
      <c r="E46" s="310" t="str">
        <f>+'Sprint1 '!E51</f>
        <v>Pendiente</v>
      </c>
      <c r="F46" s="310">
        <f>+'Sprint1 '!F51</f>
        <v>5</v>
      </c>
      <c r="G46" s="316">
        <f>VLOOKUP(B46,'Sprint1 '!$AL$69:$AN$86,3,0)</f>
        <v>20</v>
      </c>
      <c r="H46" s="315">
        <f t="shared" si="1"/>
        <v>100</v>
      </c>
      <c r="I46" s="312">
        <f t="shared" si="3"/>
        <v>5</v>
      </c>
      <c r="J46" s="313">
        <f t="shared" si="2"/>
        <v>100</v>
      </c>
    </row>
    <row r="47" spans="1:10">
      <c r="A47" s="1" t="str">
        <f>+'Sprint1 '!A52</f>
        <v>Analisis Ordenes</v>
      </c>
      <c r="B47" s="1" t="str">
        <f>+'Sprint1 '!B52</f>
        <v>NMA</v>
      </c>
      <c r="C47" s="1">
        <f>+'Sprint1 '!C52</f>
        <v>8</v>
      </c>
      <c r="D47" s="310">
        <f>+'Sprint1 '!D52</f>
        <v>6</v>
      </c>
      <c r="E47" s="310" t="str">
        <f>+'Sprint1 '!E52</f>
        <v>Pendiente</v>
      </c>
      <c r="F47" s="310">
        <f>+'Sprint1 '!F52</f>
        <v>6</v>
      </c>
      <c r="G47" s="316">
        <f>VLOOKUP(B47,'Sprint1 '!$AL$69:$AN$86,3,0)</f>
        <v>20</v>
      </c>
      <c r="H47" s="315">
        <f t="shared" si="1"/>
        <v>120</v>
      </c>
      <c r="I47" s="312">
        <f t="shared" si="3"/>
        <v>6</v>
      </c>
      <c r="J47" s="313">
        <f t="shared" si="2"/>
        <v>120</v>
      </c>
    </row>
    <row r="48" spans="1:10">
      <c r="A48" s="1" t="str">
        <f>+'Sprint1 '!A53</f>
        <v xml:space="preserve">Testing </v>
      </c>
      <c r="B48" s="1" t="str">
        <f>+'Sprint1 '!B53</f>
        <v>QTE</v>
      </c>
      <c r="C48" s="1">
        <f>+'Sprint1 '!C53</f>
        <v>1</v>
      </c>
      <c r="D48" s="310">
        <f>+'Sprint1 '!D53</f>
        <v>10</v>
      </c>
      <c r="E48" s="310" t="str">
        <f>+'Sprint1 '!E53</f>
        <v>Pendiente</v>
      </c>
      <c r="F48" s="310">
        <f>+'Sprint1 '!F53</f>
        <v>60</v>
      </c>
      <c r="G48" s="316">
        <f>VLOOKUP(B48,'Sprint1 '!$AL$69:$AN$86,3,0)</f>
        <v>35</v>
      </c>
      <c r="H48" s="315">
        <f t="shared" si="1"/>
        <v>2100</v>
      </c>
      <c r="I48" s="312">
        <f t="shared" si="3"/>
        <v>50</v>
      </c>
      <c r="J48" s="313">
        <f t="shared" si="2"/>
        <v>1750</v>
      </c>
    </row>
    <row r="49" spans="1:10">
      <c r="A49" s="1" t="str">
        <f>+'Sprint1 '!A54</f>
        <v>Correcciones y DOC entrega</v>
      </c>
      <c r="B49" s="1" t="str">
        <f>+'Sprint1 '!B54</f>
        <v>QTE</v>
      </c>
      <c r="C49" s="1">
        <f>+'Sprint1 '!C54</f>
        <v>1</v>
      </c>
      <c r="D49" s="310">
        <f>+'Sprint1 '!D54</f>
        <v>11</v>
      </c>
      <c r="E49" s="310" t="str">
        <f>+'Sprint1 '!E54</f>
        <v>Pendiente</v>
      </c>
      <c r="F49" s="310">
        <f>+'Sprint1 '!F54</f>
        <v>28</v>
      </c>
      <c r="G49" s="316">
        <f>VLOOKUP(B49,'Sprint1 '!$AL$69:$AN$86,3,0)</f>
        <v>35</v>
      </c>
      <c r="H49" s="315">
        <f t="shared" si="1"/>
        <v>980</v>
      </c>
      <c r="I49" s="312">
        <f t="shared" si="3"/>
        <v>17</v>
      </c>
      <c r="J49" s="313">
        <f t="shared" si="2"/>
        <v>595</v>
      </c>
    </row>
    <row r="50" spans="1:10">
      <c r="A50" s="1" t="str">
        <f>+'Sprint1 '!A55</f>
        <v xml:space="preserve">  </v>
      </c>
      <c r="B50" s="1" t="str">
        <f>+'Sprint1 '!B55</f>
        <v>Sin Asignar</v>
      </c>
      <c r="C50" s="1">
        <f>+'Sprint1 '!C55</f>
        <v>0</v>
      </c>
      <c r="D50" s="310">
        <f>+'Sprint1 '!D55</f>
        <v>0</v>
      </c>
      <c r="E50" s="310" t="str">
        <f>+'Sprint1 '!E55</f>
        <v>Pendiente</v>
      </c>
      <c r="F50" s="310">
        <f>+'Sprint1 '!F55</f>
        <v>0</v>
      </c>
      <c r="G50" s="316">
        <f>VLOOKUP(B50,'Sprint1 '!$AL$69:$AN$86,3,0)</f>
        <v>40</v>
      </c>
      <c r="H50" s="315">
        <f t="shared" si="1"/>
        <v>0</v>
      </c>
      <c r="I50" s="312">
        <f t="shared" si="3"/>
        <v>0</v>
      </c>
      <c r="J50" s="313">
        <f t="shared" si="2"/>
        <v>0</v>
      </c>
    </row>
    <row r="51" spans="1:10">
      <c r="A51" s="1" t="str">
        <f>+'Sprint1 '!A56</f>
        <v>Buffer CCPM   50 hs</v>
      </c>
      <c r="B51" s="1" t="str">
        <f>+'Sprint1 '!B56</f>
        <v>Sin Asignar</v>
      </c>
      <c r="C51" s="1">
        <f>+'Sprint1 '!C56</f>
        <v>0</v>
      </c>
      <c r="D51" s="310">
        <f>+'Sprint1 '!D56</f>
        <v>0</v>
      </c>
      <c r="E51" s="310" t="str">
        <f>+'Sprint1 '!E56</f>
        <v>Pendiente</v>
      </c>
      <c r="F51" s="310">
        <f>+'Sprint1 '!F56</f>
        <v>0</v>
      </c>
      <c r="G51" s="316">
        <f>VLOOKUP(B51,'Sprint1 '!$AL$69:$AN$86,3,0)</f>
        <v>40</v>
      </c>
      <c r="H51" s="315">
        <f t="shared" si="1"/>
        <v>0</v>
      </c>
      <c r="I51" s="312">
        <f t="shared" si="3"/>
        <v>0</v>
      </c>
      <c r="J51" s="313">
        <f t="shared" si="2"/>
        <v>0</v>
      </c>
    </row>
    <row r="52" spans="1:10">
      <c r="A52" s="1" t="str">
        <f>+'Sprint1 '!A57</f>
        <v>Administracion Proyecto</v>
      </c>
      <c r="B52" s="1" t="str">
        <f>+'Sprint1 '!B57</f>
        <v>LUC</v>
      </c>
      <c r="C52" s="1">
        <f>+'Sprint1 '!C57</f>
        <v>8</v>
      </c>
      <c r="D52" s="310">
        <f>+'Sprint1 '!D57</f>
        <v>20</v>
      </c>
      <c r="E52" s="310" t="str">
        <f>+'Sprint1 '!E57</f>
        <v>Pendiente</v>
      </c>
      <c r="F52" s="310">
        <f>+'Sprint1 '!F57</f>
        <v>50</v>
      </c>
      <c r="G52" s="316">
        <f>VLOOKUP(B52,'Sprint1 '!$AL$69:$AN$86,3,0)</f>
        <v>40</v>
      </c>
      <c r="H52" s="315">
        <f t="shared" si="1"/>
        <v>2000</v>
      </c>
      <c r="I52" s="312">
        <f t="shared" si="3"/>
        <v>30</v>
      </c>
      <c r="J52" s="313">
        <f t="shared" si="2"/>
        <v>1200</v>
      </c>
    </row>
    <row r="53" spans="1:10">
      <c r="A53" s="1" t="str">
        <f>+'Sprint1 '!A58</f>
        <v xml:space="preserve">    </v>
      </c>
      <c r="B53" s="1" t="str">
        <f>+'Sprint1 '!B58</f>
        <v>Sin Asignar</v>
      </c>
      <c r="C53" s="1">
        <f>+'Sprint1 '!C58</f>
        <v>0</v>
      </c>
      <c r="D53" s="310">
        <f>+'Sprint1 '!D58</f>
        <v>0</v>
      </c>
      <c r="E53" s="310" t="str">
        <f>+'Sprint1 '!E58</f>
        <v>Pendiente</v>
      </c>
      <c r="F53" s="310">
        <f>+'Sprint1 '!F58</f>
        <v>0</v>
      </c>
      <c r="G53" s="316">
        <f>VLOOKUP(B53,'Sprint1 '!$AL$69:$AN$86,3,0)</f>
        <v>40</v>
      </c>
      <c r="H53" s="315">
        <f t="shared" si="1"/>
        <v>0</v>
      </c>
      <c r="I53" s="312">
        <f t="shared" si="3"/>
        <v>0</v>
      </c>
      <c r="J53" s="313">
        <f t="shared" si="2"/>
        <v>0</v>
      </c>
    </row>
    <row r="54" spans="1:10">
      <c r="A54" s="1" t="str">
        <f>+'Sprint1 '!A59</f>
        <v xml:space="preserve">  </v>
      </c>
      <c r="B54" s="1" t="str">
        <f>+'Sprint1 '!B59</f>
        <v>Sin Asignar</v>
      </c>
      <c r="C54" s="1">
        <f>+'Sprint1 '!C59</f>
        <v>0</v>
      </c>
      <c r="D54" s="310">
        <f>+'Sprint1 '!D59</f>
        <v>0</v>
      </c>
      <c r="E54" s="310" t="str">
        <f>+'Sprint1 '!E59</f>
        <v>Pendiente</v>
      </c>
      <c r="F54" s="310">
        <f>+'Sprint1 '!F59</f>
        <v>0</v>
      </c>
      <c r="G54" s="316">
        <f>VLOOKUP(B54,'Sprint1 '!$AL$69:$AN$86,3,0)</f>
        <v>40</v>
      </c>
      <c r="H54" s="315">
        <f t="shared" si="1"/>
        <v>0</v>
      </c>
      <c r="I54" s="312">
        <f t="shared" si="3"/>
        <v>0</v>
      </c>
      <c r="J54" s="313">
        <f t="shared" si="2"/>
        <v>0</v>
      </c>
    </row>
    <row r="55" spans="1:10">
      <c r="A55" s="1">
        <f>+'Sprint1 '!A60</f>
        <v>0</v>
      </c>
      <c r="B55" s="1" t="str">
        <f>+'Sprint1 '!B60</f>
        <v>Sin Asignar</v>
      </c>
      <c r="C55" s="1">
        <f>+'Sprint1 '!C60</f>
        <v>0</v>
      </c>
      <c r="D55" s="310">
        <f>+'Sprint1 '!D60</f>
        <v>0</v>
      </c>
      <c r="E55" s="310" t="str">
        <f>+'Sprint1 '!E60</f>
        <v>Pendiente</v>
      </c>
      <c r="F55" s="310">
        <f>+'Sprint1 '!F60</f>
        <v>0</v>
      </c>
      <c r="G55" s="316">
        <f>VLOOKUP(B55,'Sprint1 '!$AL$69:$AN$86,3,0)</f>
        <v>40</v>
      </c>
      <c r="H55" s="315">
        <f t="shared" si="1"/>
        <v>0</v>
      </c>
      <c r="I55" s="312">
        <f t="shared" si="3"/>
        <v>0</v>
      </c>
      <c r="J55" s="313">
        <f t="shared" si="2"/>
        <v>0</v>
      </c>
    </row>
    <row r="56" spans="1:10">
      <c r="A56" s="1" t="str">
        <f>+'Sprint1 '!A61</f>
        <v xml:space="preserve">  </v>
      </c>
      <c r="B56" s="1" t="str">
        <f>+'Sprint1 '!B61</f>
        <v>Sin Asignar</v>
      </c>
      <c r="C56" s="1">
        <f>+'Sprint1 '!C61</f>
        <v>0</v>
      </c>
      <c r="D56" s="310">
        <f>+'Sprint1 '!D61</f>
        <v>0</v>
      </c>
      <c r="E56" s="310" t="str">
        <f>+'Sprint1 '!E61</f>
        <v>Pendiente</v>
      </c>
      <c r="F56" s="310">
        <f>+'Sprint1 '!F61</f>
        <v>0</v>
      </c>
      <c r="G56" s="316">
        <f>VLOOKUP(B56,'Sprint1 '!$AL$69:$AN$86,3,0)</f>
        <v>40</v>
      </c>
      <c r="H56" s="315">
        <f t="shared" si="1"/>
        <v>0</v>
      </c>
      <c r="I56" s="312">
        <f t="shared" si="3"/>
        <v>0</v>
      </c>
      <c r="J56" s="313">
        <f t="shared" si="2"/>
        <v>0</v>
      </c>
    </row>
    <row r="57" spans="1:10">
      <c r="A57" s="1" t="str">
        <f>+'Sprint1 '!A62</f>
        <v xml:space="preserve">            </v>
      </c>
      <c r="B57" s="1" t="str">
        <f>+'Sprint1 '!B62</f>
        <v>Sin Asignar</v>
      </c>
      <c r="C57" s="1">
        <f>+'Sprint1 '!C62</f>
        <v>0</v>
      </c>
      <c r="D57" s="310">
        <f>+'Sprint1 '!D62</f>
        <v>0</v>
      </c>
      <c r="E57" s="310" t="str">
        <f>+'Sprint1 '!E62</f>
        <v>Pendiente</v>
      </c>
      <c r="F57" s="310">
        <f>+'Sprint1 '!F62</f>
        <v>0</v>
      </c>
      <c r="G57" s="316">
        <f>VLOOKUP(B57,'Sprint1 '!$AL$69:$AN$86,3,0)</f>
        <v>40</v>
      </c>
      <c r="H57" s="315">
        <f t="shared" si="1"/>
        <v>0</v>
      </c>
      <c r="I57" s="312">
        <f t="shared" si="3"/>
        <v>0</v>
      </c>
      <c r="J57" s="313">
        <f t="shared" si="2"/>
        <v>0</v>
      </c>
    </row>
    <row r="58" spans="1:10">
      <c r="D58" s="307"/>
      <c r="E58" s="307"/>
      <c r="F58" s="307"/>
      <c r="H58" s="308"/>
      <c r="I58" s="307"/>
    </row>
    <row r="59" spans="1:10">
      <c r="D59" s="307"/>
      <c r="E59" s="307"/>
      <c r="F59" s="307"/>
      <c r="H59" s="308"/>
      <c r="I59" s="307"/>
    </row>
    <row r="60" spans="1:10">
      <c r="D60" s="307"/>
      <c r="E60" s="307"/>
      <c r="F60" s="307"/>
      <c r="H60" s="308"/>
      <c r="I60" s="307"/>
    </row>
    <row r="61" spans="1:10">
      <c r="D61" s="307"/>
      <c r="E61" s="307"/>
      <c r="F61" s="307"/>
      <c r="H61" s="308"/>
      <c r="I61" s="307"/>
    </row>
    <row r="62" spans="1:10">
      <c r="D62" s="307"/>
      <c r="E62" s="307"/>
      <c r="F62" s="307"/>
      <c r="H62" s="308"/>
      <c r="I62" s="307"/>
    </row>
    <row r="63" spans="1:10">
      <c r="D63" s="307"/>
      <c r="E63" s="307"/>
      <c r="F63" s="307"/>
      <c r="H63" s="308"/>
      <c r="I63" s="307"/>
    </row>
    <row r="64" spans="1:10">
      <c r="D64" s="307"/>
      <c r="E64" s="307"/>
      <c r="F64" s="307"/>
      <c r="H64" s="308"/>
      <c r="I64" s="307"/>
    </row>
    <row r="65" spans="1:10">
      <c r="D65" s="307"/>
      <c r="E65" s="307"/>
      <c r="F65" s="307"/>
      <c r="H65" s="308"/>
      <c r="I65" s="307"/>
    </row>
    <row r="69" spans="1:10">
      <c r="A69" s="275" t="s">
        <v>213</v>
      </c>
      <c r="B69" s="1"/>
      <c r="C69" s="1"/>
      <c r="D69" s="1"/>
      <c r="E69" s="1"/>
      <c r="F69" s="310">
        <f>SUM(F22:F68)</f>
        <v>323.43269230769226</v>
      </c>
      <c r="G69" s="316">
        <f>AVERAGE(G22:G68)</f>
        <v>25.277777777777779</v>
      </c>
      <c r="H69" s="315">
        <f t="shared" ref="H69:J69" si="4">SUM(H22:H68)</f>
        <v>8788.6538461538439</v>
      </c>
      <c r="I69" s="310">
        <f t="shared" si="4"/>
        <v>247.43269230769232</v>
      </c>
      <c r="J69" s="315">
        <f t="shared" si="4"/>
        <v>6553.6538461538457</v>
      </c>
    </row>
  </sheetData>
  <dataConsolidate/>
  <pageMargins left="0.7" right="0.7" top="0.75" bottom="0.75" header="0.3" footer="0.3"/>
  <ignoredErrors>
    <ignoredError sqref="G4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1">
    <pageSetUpPr fitToPage="1"/>
  </sheetPr>
  <dimension ref="B1:M36"/>
  <sheetViews>
    <sheetView zoomScale="75" zoomScaleNormal="90" workbookViewId="0">
      <selection activeCell="K24" sqref="K24"/>
    </sheetView>
  </sheetViews>
  <sheetFormatPr defaultColWidth="11.42578125" defaultRowHeight="12.75"/>
  <cols>
    <col min="1" max="1" width="2.140625" customWidth="1"/>
    <col min="2" max="4" width="15.7109375" customWidth="1"/>
    <col min="5" max="6" width="15.85546875" customWidth="1"/>
    <col min="7" max="7" width="15.7109375" customWidth="1"/>
    <col min="8" max="8" width="8.28515625" hidden="1" customWidth="1"/>
    <col min="9" max="9" width="9.7109375" hidden="1" customWidth="1"/>
    <col min="10" max="10" width="10.5703125" customWidth="1"/>
    <col min="11" max="11" width="20.42578125" customWidth="1"/>
    <col min="12" max="12" width="21" customWidth="1"/>
  </cols>
  <sheetData>
    <row r="1" spans="2:13" ht="13.5" thickBot="1"/>
    <row r="2" spans="2:13" ht="15">
      <c r="B2" s="531"/>
      <c r="C2" s="532"/>
      <c r="D2" s="537"/>
      <c r="E2" s="538"/>
      <c r="F2" s="554" t="s">
        <v>87</v>
      </c>
      <c r="G2" s="556"/>
    </row>
    <row r="3" spans="2:13" ht="15.75" thickBot="1">
      <c r="B3" s="533"/>
      <c r="C3" s="534"/>
      <c r="D3" s="539" t="s">
        <v>91</v>
      </c>
      <c r="E3" s="540"/>
      <c r="F3" s="557" t="s">
        <v>92</v>
      </c>
      <c r="G3" s="559"/>
    </row>
    <row r="4" spans="2:13">
      <c r="B4" s="533"/>
      <c r="C4" s="534"/>
      <c r="D4" s="541"/>
      <c r="E4" s="542"/>
      <c r="F4" s="548" t="s">
        <v>95</v>
      </c>
      <c r="G4" s="550"/>
    </row>
    <row r="5" spans="2:13" ht="13.5" thickBot="1">
      <c r="B5" s="535"/>
      <c r="C5" s="536"/>
      <c r="D5" s="543"/>
      <c r="E5" s="544"/>
      <c r="F5" s="551"/>
      <c r="G5" s="553"/>
    </row>
    <row r="6" spans="2:13" ht="13.5" thickBot="1">
      <c r="B6" s="545" t="s">
        <v>89</v>
      </c>
      <c r="C6" s="546"/>
      <c r="D6" s="546"/>
      <c r="E6" s="546"/>
      <c r="F6" s="546"/>
      <c r="G6" s="547"/>
    </row>
    <row r="7" spans="2:13" ht="13.5" thickBot="1">
      <c r="B7" s="151" t="s">
        <v>96</v>
      </c>
      <c r="C7" s="152"/>
      <c r="D7" s="150" t="s">
        <v>97</v>
      </c>
      <c r="E7" s="152"/>
      <c r="F7" s="150" t="s">
        <v>98</v>
      </c>
      <c r="G7" s="152"/>
    </row>
    <row r="10" spans="2:13" ht="13.5" thickBot="1"/>
    <row r="11" spans="2:13" ht="24" thickBot="1">
      <c r="B11" s="64" t="s">
        <v>59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6"/>
    </row>
    <row r="12" spans="2:13">
      <c r="G12">
        <v>-1.29</v>
      </c>
      <c r="K12">
        <v>39665.891472868214</v>
      </c>
    </row>
    <row r="13" spans="2:13">
      <c r="C13" s="42" t="s">
        <v>22</v>
      </c>
      <c r="D13" s="42" t="s">
        <v>25</v>
      </c>
    </row>
    <row r="14" spans="2:13">
      <c r="C14" s="42" t="s">
        <v>23</v>
      </c>
      <c r="D14" s="61">
        <f>+'Resumen Sprints'!I15</f>
        <v>39861</v>
      </c>
    </row>
    <row r="15" spans="2:13">
      <c r="C15" s="42" t="s">
        <v>24</v>
      </c>
      <c r="D15" s="61">
        <f>+D14+63</f>
        <v>39924</v>
      </c>
    </row>
    <row r="16" spans="2:13">
      <c r="C16" s="42"/>
      <c r="D16" s="1"/>
    </row>
    <row r="17" spans="2:13">
      <c r="C17" s="42"/>
      <c r="D17" s="60"/>
    </row>
    <row r="18" spans="2:13" ht="15.75">
      <c r="E18" s="45"/>
      <c r="F18" s="115" t="s">
        <v>60</v>
      </c>
    </row>
    <row r="19" spans="2:13" ht="13.5" thickBot="1">
      <c r="H19" s="41"/>
      <c r="I19" s="41"/>
      <c r="J19" s="41"/>
      <c r="K19" s="41"/>
      <c r="L19" s="41"/>
      <c r="M19" s="41"/>
    </row>
    <row r="20" spans="2:13" ht="30.75" customHeight="1" thickBot="1">
      <c r="B20" s="70"/>
      <c r="C20" s="71" t="s">
        <v>28</v>
      </c>
      <c r="D20" s="71" t="s">
        <v>29</v>
      </c>
      <c r="E20" s="72" t="s">
        <v>30</v>
      </c>
      <c r="F20" s="79" t="s">
        <v>64</v>
      </c>
      <c r="G20" s="73" t="s">
        <v>62</v>
      </c>
      <c r="H20" s="73" t="s">
        <v>63</v>
      </c>
      <c r="I20" s="74" t="s">
        <v>23</v>
      </c>
      <c r="J20" s="73" t="s">
        <v>24</v>
      </c>
      <c r="K20" s="79" t="s">
        <v>61</v>
      </c>
    </row>
    <row r="21" spans="2:13" ht="23.25" customHeight="1">
      <c r="B21" s="52" t="s">
        <v>32</v>
      </c>
      <c r="C21" s="53">
        <f>+'Resumen Sprints'!H18</f>
        <v>5</v>
      </c>
      <c r="D21" s="54">
        <f>+C21-E21</f>
        <v>0</v>
      </c>
      <c r="E21" s="57">
        <f>+'Resumen Sprints'!E18</f>
        <v>5</v>
      </c>
      <c r="F21" s="82"/>
      <c r="G21" s="67"/>
      <c r="H21" s="67"/>
      <c r="I21" s="62">
        <f>+'Resumen Sprints'!I15</f>
        <v>39861</v>
      </c>
      <c r="J21" s="77">
        <f>+'Resumen Sprints'!J15</f>
        <v>39862</v>
      </c>
      <c r="K21" s="80">
        <v>38693</v>
      </c>
    </row>
    <row r="22" spans="2:13" ht="25.5" customHeight="1">
      <c r="B22" s="52" t="s">
        <v>26</v>
      </c>
      <c r="C22" s="55">
        <f>+'Resumen Sprints'!H24</f>
        <v>322.98346153846148</v>
      </c>
      <c r="D22" s="47">
        <f>+C22-E22</f>
        <v>222.43269230769226</v>
      </c>
      <c r="E22" s="57">
        <f>+'Resumen Sprints'!E24</f>
        <v>100.55076923076923</v>
      </c>
      <c r="F22" s="83">
        <f>+G22/H22*-1</f>
        <v>-1.2131813131655946</v>
      </c>
      <c r="G22" s="81">
        <v>-9.1125000000000007</v>
      </c>
      <c r="H22" s="68">
        <f>+C22/(J22-I22)</f>
        <v>-7.5112432915921277</v>
      </c>
      <c r="I22" s="63">
        <f>+'Sprint1 '!F17</f>
        <v>39919</v>
      </c>
      <c r="J22" s="78">
        <f>+'Resumen Sprints'!U15</f>
        <v>39876</v>
      </c>
      <c r="K22" s="80">
        <f>+'Resumen Sprints'!V15</f>
        <v>39877</v>
      </c>
    </row>
    <row r="23" spans="2:13" ht="22.5" customHeight="1">
      <c r="B23" s="52" t="s">
        <v>27</v>
      </c>
      <c r="C23" s="55">
        <v>0</v>
      </c>
      <c r="D23" s="47">
        <f>+C23-E23</f>
        <v>-10</v>
      </c>
      <c r="E23" s="57">
        <f>+'Resumen Sprints'!E38</f>
        <v>10</v>
      </c>
      <c r="F23" s="83" t="e">
        <f>+G23/H23*-1</f>
        <v>#DIV/0!</v>
      </c>
      <c r="G23" s="81">
        <v>4.4000000000000004</v>
      </c>
      <c r="H23" s="68">
        <f>+C23/(J23-I23)</f>
        <v>0</v>
      </c>
      <c r="I23" s="105">
        <f>+'Resumen Sprints'!V15</f>
        <v>39877</v>
      </c>
      <c r="J23" s="106">
        <f>+I23+20</f>
        <v>39897</v>
      </c>
      <c r="K23" s="80"/>
    </row>
    <row r="24" spans="2:13" ht="21" customHeight="1">
      <c r="B24" s="52" t="s">
        <v>31</v>
      </c>
      <c r="C24" s="55">
        <f>+'Resumen Sprints'!H47</f>
        <v>10</v>
      </c>
      <c r="D24" s="47">
        <f>+C24-E24</f>
        <v>10</v>
      </c>
      <c r="E24" s="57">
        <f>+'Resumen Sprints'!E47</f>
        <v>0</v>
      </c>
      <c r="F24" s="83">
        <f>+G24/H24*-1</f>
        <v>-11.88</v>
      </c>
      <c r="G24" s="81">
        <v>4.4000000000000004</v>
      </c>
      <c r="H24" s="68">
        <f>+C24/(J24-I24)</f>
        <v>0.37037037037037035</v>
      </c>
      <c r="I24" s="105">
        <f>+J23</f>
        <v>39897</v>
      </c>
      <c r="J24" s="106">
        <f>+D15</f>
        <v>39924</v>
      </c>
      <c r="K24" s="80"/>
    </row>
    <row r="25" spans="2:13" ht="18" customHeight="1">
      <c r="B25" s="58" t="s">
        <v>33</v>
      </c>
      <c r="C25" s="55">
        <f>SUM(C21:C24)</f>
        <v>337.98346153846148</v>
      </c>
      <c r="D25" s="47">
        <f>SUM(D21:D24)</f>
        <v>222.43269230769226</v>
      </c>
      <c r="E25" s="57">
        <f>SUM(E21:E24)</f>
        <v>115.55076923076923</v>
      </c>
      <c r="F25" s="83"/>
      <c r="G25" s="68">
        <f>AVERAGE(G21:G24)</f>
        <v>-0.10416666666666667</v>
      </c>
      <c r="H25" s="68"/>
      <c r="I25" s="107">
        <f>+I21</f>
        <v>39861</v>
      </c>
      <c r="J25" s="108">
        <f>+J24</f>
        <v>39924</v>
      </c>
      <c r="K25" s="80"/>
    </row>
    <row r="26" spans="2:13" ht="25.5" customHeight="1" thickBot="1">
      <c r="B26" s="59" t="s">
        <v>45</v>
      </c>
      <c r="C26" s="56">
        <f>+C25/$E$36</f>
        <v>22.532230769230765</v>
      </c>
      <c r="D26" s="48">
        <f>+D25/8</f>
        <v>27.804086538461533</v>
      </c>
      <c r="E26" s="57">
        <f>+E25/$E$36</f>
        <v>7.7033846153846159</v>
      </c>
      <c r="F26" s="83"/>
      <c r="G26" s="69"/>
      <c r="H26" s="69"/>
      <c r="I26" s="109">
        <f>+I25</f>
        <v>39861</v>
      </c>
      <c r="J26" s="110">
        <f>+J25</f>
        <v>39924</v>
      </c>
      <c r="K26" s="80"/>
    </row>
    <row r="29" spans="2:13" ht="13.5" thickBot="1">
      <c r="F29" s="38"/>
      <c r="G29" s="38"/>
    </row>
    <row r="30" spans="2:13">
      <c r="C30" s="571" t="s">
        <v>35</v>
      </c>
      <c r="D30" s="572"/>
      <c r="E30" s="573"/>
    </row>
    <row r="31" spans="2:13">
      <c r="C31" s="43"/>
      <c r="D31" s="20" t="s">
        <v>66</v>
      </c>
      <c r="E31" s="76">
        <v>1</v>
      </c>
    </row>
    <row r="32" spans="2:13">
      <c r="C32" s="43"/>
      <c r="D32" s="20" t="s">
        <v>67</v>
      </c>
      <c r="E32" s="76">
        <v>6</v>
      </c>
    </row>
    <row r="33" spans="3:5">
      <c r="C33" s="43"/>
      <c r="D33" s="20" t="s">
        <v>67</v>
      </c>
      <c r="E33" s="76">
        <v>6</v>
      </c>
    </row>
    <row r="34" spans="3:5">
      <c r="C34" s="43"/>
      <c r="D34" s="20" t="s">
        <v>67</v>
      </c>
      <c r="E34" s="76">
        <v>2</v>
      </c>
    </row>
    <row r="35" spans="3:5">
      <c r="C35" s="43"/>
      <c r="D35" s="20" t="s">
        <v>68</v>
      </c>
      <c r="E35" s="76">
        <v>1</v>
      </c>
    </row>
    <row r="36" spans="3:5" ht="13.5" thickBot="1">
      <c r="C36" s="44" t="s">
        <v>46</v>
      </c>
      <c r="D36" s="46"/>
      <c r="E36" s="75">
        <f>SUM(E31:E34)</f>
        <v>15</v>
      </c>
    </row>
  </sheetData>
  <customSheetViews>
    <customSheetView guid="{E581961F-3841-49B1-99AD-716C95AC511A}" scale="90" fitToPage="1" hiddenColumns="1" showRuler="0">
      <selection activeCell="F24" sqref="F24"/>
      <pageMargins left="0.75" right="0.75" top="1" bottom="1" header="0" footer="0"/>
      <pageSetup scale="96" orientation="landscape" horizontalDpi="0" verticalDpi="0" r:id="rId1"/>
      <headerFooter alignWithMargins="0"/>
    </customSheetView>
  </customSheetViews>
  <mergeCells count="10">
    <mergeCell ref="F2:G2"/>
    <mergeCell ref="F3:G3"/>
    <mergeCell ref="F4:G5"/>
    <mergeCell ref="B6:G6"/>
    <mergeCell ref="C30:E30"/>
    <mergeCell ref="B2:C5"/>
    <mergeCell ref="D2:E2"/>
    <mergeCell ref="D3:E3"/>
    <mergeCell ref="D4:E4"/>
    <mergeCell ref="D5:E5"/>
  </mergeCells>
  <phoneticPr fontId="4" type="noConversion"/>
  <conditionalFormatting sqref="F22:F26">
    <cfRule type="cellIs" dxfId="7" priority="1" stopIfTrue="1" operator="between">
      <formula>-10</formula>
      <formula>0.5</formula>
    </cfRule>
    <cfRule type="cellIs" dxfId="6" priority="2" stopIfTrue="1" operator="between">
      <formula>0.5</formula>
      <formula>0.8</formula>
    </cfRule>
    <cfRule type="cellIs" dxfId="5" priority="3" stopIfTrue="1" operator="between">
      <formula>0.8</formula>
      <formula>10</formula>
    </cfRule>
  </conditionalFormatting>
  <conditionalFormatting sqref="K21:K26">
    <cfRule type="cellIs" dxfId="4" priority="4" stopIfTrue="1" operator="between">
      <formula>$I21</formula>
      <formula>$J21</formula>
    </cfRule>
    <cfRule type="cellIs" dxfId="3" priority="5" stopIfTrue="1" operator="greaterThan">
      <formula>$J21+3</formula>
    </cfRule>
    <cfRule type="cellIs" dxfId="2" priority="6" stopIfTrue="1" operator="between">
      <formula>$J21</formula>
      <formula>$J21+3</formula>
    </cfRule>
  </conditionalFormatting>
  <conditionalFormatting sqref="E21">
    <cfRule type="cellIs" dxfId="1" priority="7" stopIfTrue="1" operator="greaterThanOrEqual">
      <formula>$C21</formula>
    </cfRule>
  </conditionalFormatting>
  <conditionalFormatting sqref="E22:E26">
    <cfRule type="cellIs" dxfId="0" priority="8" stopIfTrue="1" operator="greaterThanOrEqual">
      <formula>$C22+1</formula>
    </cfRule>
  </conditionalFormatting>
  <dataValidations count="1">
    <dataValidation allowBlank="1" showInputMessage="1" showErrorMessage="1" promptTitle="Tiempo Calculado" sqref="K21 K23:K26"/>
  </dataValidations>
  <pageMargins left="0.75" right="0.75" top="1" bottom="1" header="0" footer="0"/>
  <pageSetup scale="77" orientation="landscape" horizontalDpi="0" r:id="rId2"/>
  <headerFooter alignWithMargins="0"/>
  <drawing r:id="rId3"/>
  <legacyDrawing r:id="rId4"/>
  <controls>
    <control shapeId="6145" r:id="rId5" name="CommandButton1"/>
  </control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-0.249977111117893"/>
    <pageSetUpPr fitToPage="1"/>
  </sheetPr>
  <dimension ref="A1:U85"/>
  <sheetViews>
    <sheetView tabSelected="1" zoomScale="70" zoomScaleNormal="70" workbookViewId="0">
      <selection activeCell="H51" sqref="H51"/>
    </sheetView>
  </sheetViews>
  <sheetFormatPr defaultRowHeight="12.75"/>
  <cols>
    <col min="1" max="1" width="2.140625" style="174" customWidth="1"/>
    <col min="2" max="2" width="3.140625" style="174" customWidth="1"/>
    <col min="3" max="3" width="22.7109375" customWidth="1"/>
    <col min="4" max="4" width="11.7109375" customWidth="1"/>
    <col min="5" max="5" width="11.5703125" customWidth="1"/>
    <col min="6" max="6" width="12.85546875" customWidth="1"/>
    <col min="7" max="7" width="14" customWidth="1"/>
    <col min="8" max="8" width="12.42578125" bestFit="1" customWidth="1"/>
    <col min="9" max="9" width="11.28515625" bestFit="1" customWidth="1"/>
    <col min="10" max="10" width="16.85546875" customWidth="1"/>
    <col min="11" max="11" width="2.140625" customWidth="1"/>
    <col min="12" max="12" width="13" customWidth="1"/>
    <col min="13" max="13" width="12.42578125" customWidth="1"/>
    <col min="14" max="14" width="12.7109375" customWidth="1"/>
    <col min="15" max="15" width="10.28515625" bestFit="1" customWidth="1"/>
    <col min="16" max="16" width="10.7109375" customWidth="1"/>
    <col min="17" max="17" width="9.85546875" style="174" bestFit="1" customWidth="1"/>
    <col min="20" max="20" width="12.7109375" bestFit="1" customWidth="1"/>
  </cols>
  <sheetData>
    <row r="1" spans="1:21" s="174" customFormat="1" ht="26.25" customHeight="1" thickBot="1">
      <c r="A1" s="463"/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5"/>
    </row>
    <row r="2" spans="1:21">
      <c r="A2" s="466"/>
      <c r="B2" s="461"/>
      <c r="C2" s="369" t="s">
        <v>263</v>
      </c>
      <c r="D2" s="370"/>
      <c r="E2" s="370"/>
      <c r="F2" s="370"/>
      <c r="G2" s="370"/>
      <c r="H2" s="370"/>
      <c r="I2" s="371"/>
      <c r="J2" s="461"/>
      <c r="K2" s="461"/>
      <c r="L2" s="461"/>
      <c r="M2" s="461"/>
      <c r="N2" s="461"/>
      <c r="O2" s="461"/>
      <c r="P2" s="461"/>
      <c r="Q2" s="467"/>
      <c r="T2" s="386" t="s">
        <v>232</v>
      </c>
      <c r="U2" s="385" t="s">
        <v>281</v>
      </c>
    </row>
    <row r="3" spans="1:21">
      <c r="A3" s="466"/>
      <c r="B3" s="461"/>
      <c r="C3" s="346" t="s">
        <v>232</v>
      </c>
      <c r="D3" s="337" t="s">
        <v>230</v>
      </c>
      <c r="E3" s="337" t="s">
        <v>222</v>
      </c>
      <c r="F3" s="337" t="s">
        <v>223</v>
      </c>
      <c r="G3" s="337" t="s">
        <v>224</v>
      </c>
      <c r="H3" s="337" t="s">
        <v>244</v>
      </c>
      <c r="I3" s="356" t="s">
        <v>282</v>
      </c>
      <c r="J3" s="461"/>
      <c r="K3" s="461"/>
      <c r="L3" s="461"/>
      <c r="M3" s="461"/>
      <c r="N3" s="461"/>
      <c r="O3" s="461"/>
      <c r="P3" s="461"/>
      <c r="Q3" s="467"/>
      <c r="T3" s="386" t="s">
        <v>230</v>
      </c>
      <c r="U3" s="386">
        <v>4</v>
      </c>
    </row>
    <row r="4" spans="1:21">
      <c r="A4" s="466"/>
      <c r="B4" s="461"/>
      <c r="C4" s="337" t="s">
        <v>225</v>
      </c>
      <c r="D4" s="408">
        <v>15</v>
      </c>
      <c r="E4" s="460">
        <v>17.7</v>
      </c>
      <c r="F4" s="460">
        <v>26.6</v>
      </c>
      <c r="G4" s="460">
        <v>32</v>
      </c>
      <c r="H4" s="408">
        <v>40</v>
      </c>
      <c r="I4" s="409">
        <v>30</v>
      </c>
      <c r="J4" s="461"/>
      <c r="K4" s="461"/>
      <c r="L4" s="351" t="s">
        <v>256</v>
      </c>
      <c r="M4" s="460">
        <f>60</f>
        <v>60</v>
      </c>
      <c r="N4" s="461"/>
      <c r="O4" s="461"/>
      <c r="P4" s="461"/>
      <c r="Q4" s="467"/>
      <c r="T4" s="386" t="s">
        <v>222</v>
      </c>
      <c r="U4" s="386">
        <v>2</v>
      </c>
    </row>
    <row r="5" spans="1:21">
      <c r="A5" s="466"/>
      <c r="B5" s="461"/>
      <c r="C5" s="337" t="s">
        <v>226</v>
      </c>
      <c r="D5" s="408">
        <v>15</v>
      </c>
      <c r="E5" s="460">
        <v>17.7</v>
      </c>
      <c r="F5" s="460">
        <v>26.6</v>
      </c>
      <c r="G5" s="460">
        <v>32</v>
      </c>
      <c r="H5" s="408">
        <v>40</v>
      </c>
      <c r="I5" s="409"/>
      <c r="J5" s="461"/>
      <c r="K5" s="461"/>
      <c r="L5" s="353" t="s">
        <v>257</v>
      </c>
      <c r="M5" s="353">
        <f>+L34/P34</f>
        <v>23.565733672603901</v>
      </c>
      <c r="N5" s="461"/>
      <c r="O5" s="461"/>
      <c r="P5" s="461"/>
      <c r="Q5" s="467"/>
      <c r="T5" s="386" t="s">
        <v>223</v>
      </c>
      <c r="U5" s="386">
        <v>1</v>
      </c>
    </row>
    <row r="6" spans="1:21">
      <c r="A6" s="466"/>
      <c r="B6" s="461"/>
      <c r="C6" s="337" t="s">
        <v>227</v>
      </c>
      <c r="D6" s="408">
        <v>15</v>
      </c>
      <c r="E6" s="460">
        <v>17.7</v>
      </c>
      <c r="F6" s="460">
        <v>26.6</v>
      </c>
      <c r="G6" s="460">
        <v>32</v>
      </c>
      <c r="H6" s="460">
        <v>30</v>
      </c>
      <c r="I6" s="409"/>
      <c r="J6" s="461"/>
      <c r="K6" s="461"/>
      <c r="L6" s="468" t="s">
        <v>261</v>
      </c>
      <c r="M6" s="469">
        <f>+M4/M5-1</f>
        <v>1.5460696803915925</v>
      </c>
      <c r="N6" s="461"/>
      <c r="O6" s="461"/>
      <c r="P6" s="461"/>
      <c r="Q6" s="467"/>
      <c r="T6" s="386" t="s">
        <v>224</v>
      </c>
      <c r="U6" s="386">
        <v>0.8</v>
      </c>
    </row>
    <row r="7" spans="1:21">
      <c r="A7" s="466"/>
      <c r="B7" s="461"/>
      <c r="C7" s="337" t="s">
        <v>228</v>
      </c>
      <c r="D7" s="408"/>
      <c r="E7" s="460"/>
      <c r="F7" s="460">
        <v>40</v>
      </c>
      <c r="G7" s="460">
        <v>40</v>
      </c>
      <c r="H7" s="408">
        <v>40</v>
      </c>
      <c r="I7" s="409"/>
      <c r="J7" s="461"/>
      <c r="K7" s="461"/>
      <c r="L7" s="461"/>
      <c r="M7" s="461"/>
      <c r="N7" s="461"/>
      <c r="O7" s="461"/>
      <c r="P7" s="461"/>
      <c r="Q7" s="467"/>
      <c r="T7" s="385" t="s">
        <v>244</v>
      </c>
      <c r="U7" s="386">
        <v>1</v>
      </c>
    </row>
    <row r="8" spans="1:21">
      <c r="A8" s="466"/>
      <c r="B8" s="461"/>
      <c r="C8" s="337"/>
      <c r="D8" s="408"/>
      <c r="E8" s="408"/>
      <c r="F8" s="408"/>
      <c r="G8" s="408"/>
      <c r="H8" s="408"/>
      <c r="I8" s="409"/>
      <c r="J8" s="461"/>
      <c r="K8" s="461"/>
      <c r="L8" s="352" t="s">
        <v>258</v>
      </c>
      <c r="M8" s="352"/>
      <c r="N8" s="352">
        <f>+L35</f>
        <v>90000</v>
      </c>
      <c r="O8" s="461"/>
      <c r="P8" s="461"/>
      <c r="Q8" s="467"/>
      <c r="T8" s="385" t="s">
        <v>282</v>
      </c>
      <c r="U8" s="386">
        <v>1</v>
      </c>
    </row>
    <row r="9" spans="1:21">
      <c r="A9" s="466"/>
      <c r="B9" s="461"/>
      <c r="C9" s="337"/>
      <c r="D9" s="408"/>
      <c r="E9" s="408"/>
      <c r="F9" s="408"/>
      <c r="G9" s="408"/>
      <c r="H9" s="408"/>
      <c r="I9" s="409"/>
      <c r="J9" s="461"/>
      <c r="K9" s="461"/>
      <c r="L9" s="353" t="s">
        <v>262</v>
      </c>
      <c r="M9" s="353"/>
      <c r="N9" s="353">
        <f>+L34</f>
        <v>48622</v>
      </c>
      <c r="O9" s="461"/>
      <c r="P9" s="461"/>
      <c r="Q9" s="467"/>
    </row>
    <row r="10" spans="1:21">
      <c r="A10" s="466"/>
      <c r="B10" s="461"/>
      <c r="C10" s="337"/>
      <c r="D10" s="408"/>
      <c r="E10" s="408"/>
      <c r="F10" s="408"/>
      <c r="G10" s="408"/>
      <c r="H10" s="408"/>
      <c r="I10" s="409"/>
      <c r="J10" s="461"/>
      <c r="K10" s="461"/>
      <c r="L10" s="468" t="s">
        <v>259</v>
      </c>
      <c r="M10" s="468"/>
      <c r="N10" s="469">
        <f>+N8/N9-1</f>
        <v>0.85101394430504707</v>
      </c>
      <c r="O10" s="461"/>
      <c r="P10" s="461"/>
      <c r="Q10" s="467"/>
    </row>
    <row r="11" spans="1:21">
      <c r="A11" s="466"/>
      <c r="B11" s="461"/>
      <c r="C11" s="337"/>
      <c r="D11" s="408"/>
      <c r="E11" s="408"/>
      <c r="F11" s="408"/>
      <c r="G11" s="408"/>
      <c r="H11" s="408"/>
      <c r="I11" s="409"/>
      <c r="J11" s="461"/>
      <c r="K11" s="461"/>
      <c r="L11" s="468" t="s">
        <v>260</v>
      </c>
      <c r="M11" s="468"/>
      <c r="N11" s="469">
        <f>+N8/J34-1</f>
        <v>0.96453361971867912</v>
      </c>
      <c r="O11" s="461"/>
      <c r="P11" s="461"/>
      <c r="Q11" s="467"/>
    </row>
    <row r="12" spans="1:21" ht="13.5" thickBot="1">
      <c r="A12" s="466"/>
      <c r="B12" s="461"/>
      <c r="C12" s="337"/>
      <c r="D12" s="408"/>
      <c r="E12" s="408"/>
      <c r="F12" s="408"/>
      <c r="G12" s="408"/>
      <c r="H12" s="408"/>
      <c r="I12" s="409"/>
      <c r="J12" s="461"/>
      <c r="K12" s="461"/>
      <c r="L12" s="461"/>
      <c r="M12" s="461"/>
      <c r="N12" s="461"/>
      <c r="O12" s="461"/>
      <c r="P12" s="461"/>
      <c r="Q12" s="467"/>
    </row>
    <row r="13" spans="1:21" ht="13.5" thickBot="1">
      <c r="A13" s="466"/>
      <c r="B13" s="461"/>
      <c r="C13" s="338"/>
      <c r="D13" s="410"/>
      <c r="E13" s="410"/>
      <c r="F13" s="410"/>
      <c r="G13" s="410"/>
      <c r="H13" s="410"/>
      <c r="I13" s="411"/>
      <c r="J13" s="470"/>
      <c r="K13" s="461"/>
      <c r="L13" s="399" t="s">
        <v>275</v>
      </c>
      <c r="M13" s="383"/>
      <c r="N13" s="141"/>
      <c r="O13" s="461"/>
      <c r="P13" s="461"/>
      <c r="Q13" s="467"/>
    </row>
    <row r="14" spans="1:21">
      <c r="A14" s="466"/>
      <c r="B14" s="461"/>
      <c r="C14" s="461"/>
      <c r="D14" s="461"/>
      <c r="E14" s="461"/>
      <c r="F14" s="461"/>
      <c r="G14" s="461"/>
      <c r="H14" s="461"/>
      <c r="I14" s="461"/>
      <c r="J14" s="461"/>
      <c r="K14" s="461"/>
      <c r="L14" s="461"/>
      <c r="M14" s="461"/>
      <c r="N14" s="461"/>
      <c r="O14" s="461"/>
      <c r="P14" s="461"/>
      <c r="Q14" s="467"/>
    </row>
    <row r="15" spans="1:21">
      <c r="A15" s="466"/>
      <c r="B15" s="461"/>
      <c r="C15" s="461"/>
      <c r="D15" s="461"/>
      <c r="E15" s="461"/>
      <c r="F15" s="461"/>
      <c r="G15" s="461"/>
      <c r="H15" s="461"/>
      <c r="I15" s="461"/>
      <c r="J15" s="461"/>
      <c r="K15" s="461"/>
      <c r="L15" s="471"/>
      <c r="M15" s="461"/>
      <c r="N15" s="461"/>
      <c r="O15" s="461"/>
      <c r="P15" s="461"/>
      <c r="Q15" s="467"/>
    </row>
    <row r="16" spans="1:21" ht="13.5" thickBot="1">
      <c r="A16" s="466"/>
      <c r="B16" s="461"/>
      <c r="C16" s="461"/>
      <c r="D16" s="461"/>
      <c r="E16" s="461"/>
      <c r="F16" s="461"/>
      <c r="G16" s="461"/>
      <c r="H16" s="461"/>
      <c r="I16" s="461"/>
      <c r="J16" s="461"/>
      <c r="K16" s="461"/>
      <c r="L16" s="461"/>
      <c r="M16" s="461"/>
      <c r="N16" s="461"/>
      <c r="O16" s="461"/>
      <c r="P16" s="461"/>
      <c r="Q16" s="467"/>
    </row>
    <row r="17" spans="1:17" ht="13.5" thickBot="1">
      <c r="A17" s="466"/>
      <c r="B17" s="461"/>
      <c r="C17" s="369" t="s">
        <v>286</v>
      </c>
      <c r="D17" s="370"/>
      <c r="E17" s="370"/>
      <c r="F17" s="370"/>
      <c r="G17" s="370"/>
      <c r="H17" s="370"/>
      <c r="I17" s="371"/>
      <c r="J17" s="465"/>
      <c r="K17" s="461"/>
      <c r="L17" s="461"/>
      <c r="M17" s="461"/>
      <c r="N17" s="461"/>
      <c r="O17" s="461"/>
      <c r="P17" s="461"/>
      <c r="Q17" s="467"/>
    </row>
    <row r="18" spans="1:17" ht="13.5" thickBot="1">
      <c r="A18" s="466"/>
      <c r="B18" s="461"/>
      <c r="C18" s="334"/>
      <c r="D18" s="335" t="s">
        <v>245</v>
      </c>
      <c r="E18" s="335" t="s">
        <v>247</v>
      </c>
      <c r="F18" s="335" t="s">
        <v>249</v>
      </c>
      <c r="G18" s="335" t="s">
        <v>248</v>
      </c>
      <c r="H18" s="349" t="s">
        <v>250</v>
      </c>
      <c r="I18" s="432" t="s">
        <v>254</v>
      </c>
      <c r="J18" s="372" t="s">
        <v>300</v>
      </c>
      <c r="K18" s="461"/>
      <c r="L18" s="461"/>
      <c r="M18" s="461"/>
      <c r="N18" s="461"/>
      <c r="O18" s="461"/>
      <c r="P18" s="461"/>
      <c r="Q18" s="467"/>
    </row>
    <row r="19" spans="1:17">
      <c r="A19" s="466"/>
      <c r="B19" s="461"/>
      <c r="C19" s="337" t="s">
        <v>233</v>
      </c>
      <c r="D19" s="429">
        <v>139</v>
      </c>
      <c r="E19" s="430">
        <v>1</v>
      </c>
      <c r="F19" s="428">
        <v>1</v>
      </c>
      <c r="G19" s="419">
        <f t="shared" ref="G19:G21" si="0">+D19/35/E19*(1/F19)</f>
        <v>3.9714285714285715</v>
      </c>
      <c r="H19" s="367">
        <f>+(ROUNDDOWN(G19,0)+1)*(40*E19)*(F19)</f>
        <v>160</v>
      </c>
      <c r="I19" s="433">
        <f>+H19/40*35</f>
        <v>140</v>
      </c>
      <c r="J19" s="475">
        <f>+$G$23*(35*F19)*E19</f>
        <v>509.42708333333331</v>
      </c>
      <c r="K19" s="461"/>
      <c r="L19" s="461"/>
      <c r="M19" s="461"/>
      <c r="N19" s="461"/>
      <c r="O19" s="461"/>
      <c r="P19" s="461"/>
      <c r="Q19" s="467"/>
    </row>
    <row r="20" spans="1:17">
      <c r="A20" s="466"/>
      <c r="B20" s="461"/>
      <c r="C20" s="418" t="s">
        <v>225</v>
      </c>
      <c r="D20" s="339">
        <v>977</v>
      </c>
      <c r="E20" s="430">
        <v>3</v>
      </c>
      <c r="F20" s="428">
        <v>0.8</v>
      </c>
      <c r="G20" s="419">
        <f>+D20/35/E20*(1/F20)</f>
        <v>11.630952380952381</v>
      </c>
      <c r="H20" s="367">
        <f t="shared" ref="H20:H21" si="1">+(ROUNDDOWN(G20,0)+1)*(40*E20)*(F20)</f>
        <v>1152</v>
      </c>
      <c r="I20" s="433">
        <f t="shared" ref="I20:I22" si="2">+H20/40*35</f>
        <v>1008</v>
      </c>
      <c r="J20" s="475">
        <f>+$G$23*(35*F20)*E20</f>
        <v>1222.625</v>
      </c>
      <c r="K20" s="461"/>
      <c r="L20" s="461"/>
      <c r="M20" s="461"/>
      <c r="N20" s="461"/>
      <c r="O20" s="461"/>
      <c r="P20" s="461"/>
      <c r="Q20" s="467"/>
    </row>
    <row r="21" spans="1:17">
      <c r="A21" s="466"/>
      <c r="B21" s="461"/>
      <c r="C21" s="337" t="s">
        <v>227</v>
      </c>
      <c r="D21" s="339">
        <v>230</v>
      </c>
      <c r="E21" s="430">
        <v>2</v>
      </c>
      <c r="F21" s="428">
        <v>1</v>
      </c>
      <c r="G21" s="419">
        <f t="shared" si="0"/>
        <v>3.2857142857142856</v>
      </c>
      <c r="H21" s="367">
        <f t="shared" si="1"/>
        <v>320</v>
      </c>
      <c r="I21" s="433">
        <f t="shared" si="2"/>
        <v>280</v>
      </c>
      <c r="J21" s="475">
        <f>+I21</f>
        <v>280</v>
      </c>
      <c r="K21" s="461"/>
      <c r="L21" s="461"/>
      <c r="M21" s="461"/>
      <c r="N21" s="461"/>
      <c r="O21" s="461"/>
      <c r="P21" s="461"/>
      <c r="Q21" s="467"/>
    </row>
    <row r="22" spans="1:17">
      <c r="A22" s="466"/>
      <c r="B22" s="461"/>
      <c r="C22" s="337" t="s">
        <v>228</v>
      </c>
      <c r="D22" s="339">
        <v>154</v>
      </c>
      <c r="E22" s="430">
        <v>1</v>
      </c>
      <c r="F22" s="428">
        <v>1</v>
      </c>
      <c r="G22" s="419">
        <f>+D22/35/E22*(1/F22)</f>
        <v>4.4000000000000004</v>
      </c>
      <c r="H22" s="367">
        <f>+(ROUNDDOWN(G22,0)+1)*(40*E22)*(F22)</f>
        <v>200</v>
      </c>
      <c r="I22" s="433">
        <f t="shared" si="2"/>
        <v>175</v>
      </c>
      <c r="J22" s="475">
        <f>+$G$23*(35*F22)*E22</f>
        <v>509.42708333333331</v>
      </c>
      <c r="K22" s="461"/>
      <c r="L22" s="461"/>
      <c r="M22" s="461"/>
      <c r="N22" s="461"/>
      <c r="O22" s="461"/>
      <c r="P22" s="461"/>
      <c r="Q22" s="467"/>
    </row>
    <row r="23" spans="1:17" ht="13.5" thickBot="1">
      <c r="A23" s="466"/>
      <c r="B23" s="461"/>
      <c r="C23" s="338" t="s">
        <v>284</v>
      </c>
      <c r="D23" s="431">
        <f>SUM(D19:D22)</f>
        <v>1500</v>
      </c>
      <c r="E23" s="341">
        <f>SUM(E19:E22)</f>
        <v>7</v>
      </c>
      <c r="F23" s="342"/>
      <c r="G23" s="343">
        <f>AVERAGE(G19:G22)*2.5</f>
        <v>14.555059523809524</v>
      </c>
      <c r="H23" s="350">
        <f>SUM(H19:H22)</f>
        <v>1832</v>
      </c>
      <c r="I23" s="434">
        <f>SUM(I19:I22)</f>
        <v>1603</v>
      </c>
      <c r="J23" s="476">
        <f>SUM(J19:J22)</f>
        <v>2521.4791666666665</v>
      </c>
      <c r="K23" s="461"/>
      <c r="L23" s="461"/>
      <c r="M23" s="461"/>
      <c r="N23" s="461"/>
      <c r="O23" s="461"/>
      <c r="P23" s="461"/>
      <c r="Q23" s="467"/>
    </row>
    <row r="24" spans="1:17" ht="13.5" thickBot="1">
      <c r="A24" s="466"/>
      <c r="B24" s="461"/>
      <c r="C24" s="462"/>
      <c r="D24" s="461"/>
      <c r="E24" s="461"/>
      <c r="F24" s="461"/>
      <c r="G24" s="461"/>
      <c r="H24" s="461"/>
      <c r="I24" s="461"/>
      <c r="J24" s="461"/>
      <c r="K24" s="461"/>
      <c r="L24" s="461"/>
      <c r="M24" s="461"/>
      <c r="N24" s="461"/>
      <c r="O24" s="461"/>
      <c r="P24" s="461"/>
      <c r="Q24" s="467"/>
    </row>
    <row r="25" spans="1:17" ht="13.5" thickBot="1">
      <c r="A25" s="466"/>
      <c r="B25" s="461"/>
      <c r="C25" s="422" t="s">
        <v>285</v>
      </c>
      <c r="D25" s="423"/>
      <c r="E25" s="423"/>
      <c r="F25" s="423"/>
      <c r="G25" s="423"/>
      <c r="H25" s="423"/>
      <c r="I25" s="423"/>
      <c r="J25" s="423"/>
      <c r="K25" s="464"/>
      <c r="L25" s="424"/>
      <c r="M25" s="424"/>
      <c r="N25" s="424"/>
      <c r="O25" s="424"/>
      <c r="P25" s="424"/>
      <c r="Q25" s="467"/>
    </row>
    <row r="26" spans="1:17">
      <c r="A26" s="466"/>
      <c r="B26" s="461"/>
      <c r="C26" s="425"/>
      <c r="D26" s="335" t="s">
        <v>224</v>
      </c>
      <c r="E26" s="335" t="s">
        <v>253</v>
      </c>
      <c r="F26" s="335" t="s">
        <v>280</v>
      </c>
      <c r="G26" s="335" t="s">
        <v>299</v>
      </c>
      <c r="H26" s="335" t="s">
        <v>278</v>
      </c>
      <c r="I26" s="335" t="s">
        <v>279</v>
      </c>
      <c r="J26" s="335" t="s">
        <v>283</v>
      </c>
      <c r="K26" s="461"/>
      <c r="L26" s="336" t="s">
        <v>255</v>
      </c>
      <c r="M26" s="335" t="s">
        <v>249</v>
      </c>
      <c r="N26" s="335" t="s">
        <v>248</v>
      </c>
      <c r="O26" s="349" t="s">
        <v>250</v>
      </c>
      <c r="P26" s="336" t="s">
        <v>254</v>
      </c>
      <c r="Q26" s="467"/>
    </row>
    <row r="27" spans="1:17">
      <c r="A27" s="466"/>
      <c r="B27" s="461"/>
      <c r="C27" s="337" t="s">
        <v>234</v>
      </c>
      <c r="D27" s="407" t="s">
        <v>223</v>
      </c>
      <c r="E27" s="364">
        <f>+HLOOKUP(D27,$D$3:$I$8,3,0)</f>
        <v>26.6</v>
      </c>
      <c r="F27" s="412">
        <f t="shared" ref="F27:F33" si="3">VLOOKUP(D27,$T$3:$U$8,2,0)</f>
        <v>1</v>
      </c>
      <c r="G27" s="428">
        <v>1</v>
      </c>
      <c r="H27" s="412">
        <f>+D19</f>
        <v>139</v>
      </c>
      <c r="I27" s="412">
        <f>+H27*F27</f>
        <v>139</v>
      </c>
      <c r="J27" s="364">
        <f>+I27*E27</f>
        <v>3697.4</v>
      </c>
      <c r="K27" s="461"/>
      <c r="L27" s="413">
        <f>+P27*E27</f>
        <v>3724</v>
      </c>
      <c r="M27" s="428">
        <f>+F19</f>
        <v>1</v>
      </c>
      <c r="N27" s="419">
        <f>+I27/35/1*(1/M27)</f>
        <v>3.9714285714285715</v>
      </c>
      <c r="O27" s="420">
        <f>+(ROUNDDOWN(N27,0)+1)*(40*1)*(M27)</f>
        <v>160</v>
      </c>
      <c r="P27" s="421">
        <f>+O27/40*35</f>
        <v>140</v>
      </c>
      <c r="Q27" s="467"/>
    </row>
    <row r="28" spans="1:17">
      <c r="A28" s="466"/>
      <c r="B28" s="461"/>
      <c r="C28" s="418" t="s">
        <v>235</v>
      </c>
      <c r="D28" s="407" t="s">
        <v>223</v>
      </c>
      <c r="E28" s="364">
        <f>+HLOOKUP(D28,$D$3:$I$8,2,0)</f>
        <v>26.6</v>
      </c>
      <c r="F28" s="412">
        <f t="shared" si="3"/>
        <v>1</v>
      </c>
      <c r="G28" s="428">
        <v>0.5</v>
      </c>
      <c r="H28" s="412">
        <f>+$D$20*G28</f>
        <v>488.5</v>
      </c>
      <c r="I28" s="412">
        <f>+H28*F28</f>
        <v>488.5</v>
      </c>
      <c r="J28" s="364">
        <f>+I28*E28</f>
        <v>12994.1</v>
      </c>
      <c r="K28" s="461"/>
      <c r="L28" s="413">
        <f t="shared" ref="L28:L33" si="4">+P28*E28</f>
        <v>13406.400000000001</v>
      </c>
      <c r="M28" s="428">
        <f>+$F$20</f>
        <v>0.8</v>
      </c>
      <c r="N28" s="419">
        <f t="shared" ref="N28:N33" si="5">+I28/35/1*(1/M28)</f>
        <v>17.446428571428573</v>
      </c>
      <c r="O28" s="420">
        <f t="shared" ref="O28:O33" si="6">+(ROUNDDOWN(N28,0)+1)*(40*1)*(M28)</f>
        <v>576</v>
      </c>
      <c r="P28" s="421">
        <f t="shared" ref="P28:P33" si="7">+O28/40*35</f>
        <v>504</v>
      </c>
      <c r="Q28" s="467"/>
    </row>
    <row r="29" spans="1:17">
      <c r="A29" s="466"/>
      <c r="B29" s="461"/>
      <c r="C29" s="418" t="s">
        <v>236</v>
      </c>
      <c r="D29" s="407" t="s">
        <v>222</v>
      </c>
      <c r="E29" s="364">
        <f t="shared" ref="E29:E30" si="8">+HLOOKUP(D29,$D$3:$I$8,2,0)</f>
        <v>17.7</v>
      </c>
      <c r="F29" s="412">
        <f t="shared" ref="F29:F32" si="9">VLOOKUP(D29,$T$3:$U$8,2,0)</f>
        <v>2</v>
      </c>
      <c r="G29" s="428">
        <v>0.25</v>
      </c>
      <c r="H29" s="412">
        <f>+$D$20*G29</f>
        <v>244.25</v>
      </c>
      <c r="I29" s="412">
        <f t="shared" ref="I29:I30" si="10">+H29*F29</f>
        <v>488.5</v>
      </c>
      <c r="J29" s="364">
        <f t="shared" ref="J29:J30" si="11">+I29*E29</f>
        <v>8646.4499999999989</v>
      </c>
      <c r="K29" s="461"/>
      <c r="L29" s="413">
        <f t="shared" ref="L29:L30" si="12">+P29*E29</f>
        <v>8920.7999999999993</v>
      </c>
      <c r="M29" s="428">
        <f t="shared" ref="M29:M30" si="13">+$F$20</f>
        <v>0.8</v>
      </c>
      <c r="N29" s="419">
        <f t="shared" ref="N29:N30" si="14">+I29/35/1*(1/M29)</f>
        <v>17.446428571428573</v>
      </c>
      <c r="O29" s="420">
        <f t="shared" ref="O29:O30" si="15">+(ROUNDDOWN(N29,0)+1)*(40*1)*(M29)</f>
        <v>576</v>
      </c>
      <c r="P29" s="421">
        <f t="shared" ref="P29:P30" si="16">+O29/40*35</f>
        <v>504</v>
      </c>
      <c r="Q29" s="467"/>
    </row>
    <row r="30" spans="1:17">
      <c r="A30" s="466"/>
      <c r="B30" s="461"/>
      <c r="C30" s="418" t="s">
        <v>294</v>
      </c>
      <c r="D30" s="407" t="s">
        <v>222</v>
      </c>
      <c r="E30" s="364">
        <f t="shared" si="8"/>
        <v>17.7</v>
      </c>
      <c r="F30" s="412">
        <f t="shared" si="9"/>
        <v>2</v>
      </c>
      <c r="G30" s="428">
        <v>0.25</v>
      </c>
      <c r="H30" s="412">
        <f>+$D$20*G30</f>
        <v>244.25</v>
      </c>
      <c r="I30" s="412">
        <f t="shared" si="10"/>
        <v>488.5</v>
      </c>
      <c r="J30" s="364">
        <f t="shared" si="11"/>
        <v>8646.4499999999989</v>
      </c>
      <c r="K30" s="461"/>
      <c r="L30" s="413">
        <f t="shared" si="12"/>
        <v>8920.7999999999993</v>
      </c>
      <c r="M30" s="428">
        <f t="shared" si="13"/>
        <v>0.8</v>
      </c>
      <c r="N30" s="419">
        <f t="shared" si="14"/>
        <v>17.446428571428573</v>
      </c>
      <c r="O30" s="420">
        <f t="shared" si="15"/>
        <v>576</v>
      </c>
      <c r="P30" s="421">
        <f t="shared" si="16"/>
        <v>504</v>
      </c>
      <c r="Q30" s="467"/>
    </row>
    <row r="31" spans="1:17">
      <c r="A31" s="466"/>
      <c r="B31" s="461"/>
      <c r="C31" s="337" t="s">
        <v>237</v>
      </c>
      <c r="D31" s="407" t="s">
        <v>244</v>
      </c>
      <c r="E31" s="364">
        <f>+HLOOKUP(D31,$D$3:$I$8,4,0)</f>
        <v>30</v>
      </c>
      <c r="F31" s="412">
        <f t="shared" si="9"/>
        <v>1</v>
      </c>
      <c r="G31" s="428">
        <v>0.5</v>
      </c>
      <c r="H31" s="412">
        <f>+$D$21*G31</f>
        <v>115</v>
      </c>
      <c r="I31" s="412">
        <f>+H31*F31</f>
        <v>115</v>
      </c>
      <c r="J31" s="364">
        <f>+I31*E31</f>
        <v>3450</v>
      </c>
      <c r="K31" s="461"/>
      <c r="L31" s="413">
        <f t="shared" si="4"/>
        <v>4200</v>
      </c>
      <c r="M31" s="428">
        <v>1</v>
      </c>
      <c r="N31" s="419">
        <f>+I31/35/1*(1/M31)</f>
        <v>3.2857142857142856</v>
      </c>
      <c r="O31" s="420">
        <f t="shared" si="6"/>
        <v>160</v>
      </c>
      <c r="P31" s="421">
        <f t="shared" si="7"/>
        <v>140</v>
      </c>
      <c r="Q31" s="467"/>
    </row>
    <row r="32" spans="1:17">
      <c r="A32" s="466"/>
      <c r="B32" s="461"/>
      <c r="C32" s="337" t="s">
        <v>298</v>
      </c>
      <c r="D32" s="407" t="s">
        <v>244</v>
      </c>
      <c r="E32" s="364">
        <f>IFERROR(HLOOKUP(D32,$D$3:$I$8,4,0),0)</f>
        <v>30</v>
      </c>
      <c r="F32" s="412">
        <f t="shared" si="9"/>
        <v>1</v>
      </c>
      <c r="G32" s="428">
        <v>0.5</v>
      </c>
      <c r="H32" s="412">
        <f>+$D$21*G32</f>
        <v>115</v>
      </c>
      <c r="I32" s="412">
        <f>+H32*F32</f>
        <v>115</v>
      </c>
      <c r="J32" s="364">
        <f>+I32*E32</f>
        <v>3450</v>
      </c>
      <c r="K32" s="461"/>
      <c r="L32" s="413">
        <f t="shared" si="4"/>
        <v>4200</v>
      </c>
      <c r="M32" s="428">
        <v>1</v>
      </c>
      <c r="N32" s="419">
        <f>IFERROR(I32/35/1*(1/M32),0)</f>
        <v>3.2857142857142856</v>
      </c>
      <c r="O32" s="420">
        <f t="shared" si="6"/>
        <v>160</v>
      </c>
      <c r="P32" s="421">
        <f t="shared" si="7"/>
        <v>140</v>
      </c>
      <c r="Q32" s="467"/>
    </row>
    <row r="33" spans="1:17" ht="13.5" thickBot="1">
      <c r="A33" s="466"/>
      <c r="B33" s="461"/>
      <c r="C33" s="337" t="s">
        <v>238</v>
      </c>
      <c r="D33" s="407" t="s">
        <v>224</v>
      </c>
      <c r="E33" s="364">
        <f>+HLOOKUP(D33,$D$3:$I$8,5,0)</f>
        <v>40</v>
      </c>
      <c r="F33" s="412">
        <f t="shared" si="3"/>
        <v>0.8</v>
      </c>
      <c r="G33" s="428">
        <v>0.25</v>
      </c>
      <c r="H33" s="412">
        <f>+D22</f>
        <v>154</v>
      </c>
      <c r="I33" s="412">
        <f>+H33*F33</f>
        <v>123.2</v>
      </c>
      <c r="J33" s="364">
        <f>+I33*E33</f>
        <v>4928</v>
      </c>
      <c r="K33" s="461"/>
      <c r="L33" s="413">
        <f t="shared" si="4"/>
        <v>5250</v>
      </c>
      <c r="M33" s="428">
        <v>0.25</v>
      </c>
      <c r="N33" s="419">
        <f t="shared" si="5"/>
        <v>14.08</v>
      </c>
      <c r="O33" s="420">
        <f t="shared" si="6"/>
        <v>150</v>
      </c>
      <c r="P33" s="421">
        <f t="shared" si="7"/>
        <v>131.25</v>
      </c>
      <c r="Q33" s="467"/>
    </row>
    <row r="34" spans="1:17" ht="13.5" thickBot="1">
      <c r="A34" s="466"/>
      <c r="B34" s="461"/>
      <c r="C34" s="338"/>
      <c r="D34" s="414"/>
      <c r="E34" s="415">
        <f>+J34/D23</f>
        <v>30.541599999999995</v>
      </c>
      <c r="F34" s="416">
        <f>AVERAGE(F27:F33)</f>
        <v>1.2571428571428573</v>
      </c>
      <c r="G34" s="416"/>
      <c r="H34" s="417">
        <f>SUM(H27:H33)</f>
        <v>1500</v>
      </c>
      <c r="I34" s="417">
        <f>SUM(I27:I33)</f>
        <v>1957.7</v>
      </c>
      <c r="J34" s="415">
        <f t="shared" ref="J34" si="17">SUM(J27:J33)</f>
        <v>45812.399999999994</v>
      </c>
      <c r="K34" s="473"/>
      <c r="L34" s="402">
        <f>SUM(L27:L33)</f>
        <v>48622</v>
      </c>
      <c r="M34" s="342"/>
      <c r="N34" s="477">
        <f>(G23*P34/I23)*(1+(1-(AVERAGE(M27:M33))))</f>
        <v>22.347078406280637</v>
      </c>
      <c r="O34" s="426">
        <f>SUM(O27:O33)</f>
        <v>2358</v>
      </c>
      <c r="P34" s="500">
        <f>SUM(P27:P33)</f>
        <v>2063.25</v>
      </c>
      <c r="Q34" s="467"/>
    </row>
    <row r="35" spans="1:17">
      <c r="A35" s="466"/>
      <c r="B35" s="461"/>
      <c r="C35" s="461"/>
      <c r="D35" s="461"/>
      <c r="E35" s="461"/>
      <c r="F35" s="461"/>
      <c r="G35" s="461"/>
      <c r="H35" s="461"/>
      <c r="I35" s="461"/>
      <c r="J35" s="498">
        <f>+$D$23*$M$4</f>
        <v>90000</v>
      </c>
      <c r="K35" s="464"/>
      <c r="L35" s="498">
        <f>+$D$23* $M$4</f>
        <v>90000</v>
      </c>
      <c r="M35" s="461"/>
      <c r="N35" s="461"/>
      <c r="O35" s="461"/>
      <c r="P35" s="461"/>
      <c r="Q35" s="467"/>
    </row>
    <row r="36" spans="1:17" ht="13.5" thickBot="1">
      <c r="A36" s="466"/>
      <c r="B36" s="461"/>
      <c r="C36" s="461"/>
      <c r="D36" s="461"/>
      <c r="E36" s="461"/>
      <c r="F36" s="461"/>
      <c r="G36" s="461"/>
      <c r="H36" s="461"/>
      <c r="I36" s="461"/>
      <c r="J36" s="361">
        <f>+J35/J34-1</f>
        <v>0.96453361971867912</v>
      </c>
      <c r="K36" s="473"/>
      <c r="L36" s="362">
        <f>+L35/L34-1</f>
        <v>0.85101394430504707</v>
      </c>
      <c r="M36" s="461"/>
      <c r="N36" s="461"/>
      <c r="O36" s="461"/>
      <c r="P36" s="461"/>
      <c r="Q36" s="467"/>
    </row>
    <row r="37" spans="1:17" ht="13.5" thickBot="1">
      <c r="A37" s="466"/>
      <c r="B37" s="461"/>
      <c r="C37" s="461"/>
      <c r="D37" s="461"/>
      <c r="E37" s="461"/>
      <c r="F37" s="461"/>
      <c r="G37" s="461"/>
      <c r="H37" s="461"/>
      <c r="I37" s="461"/>
      <c r="J37" s="461"/>
      <c r="K37" s="461"/>
      <c r="L37" s="461"/>
      <c r="M37" s="461"/>
      <c r="N37" s="479">
        <f>+N34/4</f>
        <v>5.5867696015701593</v>
      </c>
      <c r="O37" s="479" t="s">
        <v>295</v>
      </c>
      <c r="P37" s="461"/>
      <c r="Q37" s="467"/>
    </row>
    <row r="38" spans="1:17">
      <c r="A38" s="466"/>
      <c r="B38" s="461"/>
      <c r="C38" s="369" t="s">
        <v>267</v>
      </c>
      <c r="D38" s="370" t="s">
        <v>265</v>
      </c>
      <c r="E38" s="370" t="s">
        <v>266</v>
      </c>
      <c r="F38" s="371" t="s">
        <v>217</v>
      </c>
      <c r="G38" s="461"/>
      <c r="H38" s="461"/>
      <c r="I38" s="461"/>
      <c r="J38" s="461"/>
      <c r="K38" s="461"/>
      <c r="L38" s="461"/>
      <c r="M38" s="461"/>
      <c r="N38" s="461"/>
      <c r="O38" s="461"/>
      <c r="P38" s="461"/>
      <c r="Q38" s="467"/>
    </row>
    <row r="39" spans="1:17" ht="13.5" thickBot="1">
      <c r="A39" s="466"/>
      <c r="B39" s="461"/>
      <c r="C39" s="337" t="s">
        <v>234</v>
      </c>
      <c r="D39" s="397" t="str">
        <f t="shared" ref="D39:E41" si="18">+D27</f>
        <v>SSr</v>
      </c>
      <c r="E39" s="397">
        <f t="shared" si="18"/>
        <v>26.6</v>
      </c>
      <c r="F39" s="480">
        <v>0.3</v>
      </c>
      <c r="G39" s="461"/>
      <c r="H39" s="461"/>
      <c r="I39" s="461"/>
      <c r="J39" s="461"/>
      <c r="K39" s="461"/>
      <c r="L39" s="461"/>
      <c r="M39" s="461"/>
      <c r="N39" s="461"/>
      <c r="O39" s="461"/>
      <c r="P39" s="461"/>
      <c r="Q39" s="467"/>
    </row>
    <row r="40" spans="1:17" ht="13.5" thickBot="1">
      <c r="A40" s="466"/>
      <c r="B40" s="461"/>
      <c r="C40" s="418" t="s">
        <v>235</v>
      </c>
      <c r="D40" s="397" t="str">
        <f t="shared" si="18"/>
        <v>SSr</v>
      </c>
      <c r="E40" s="397">
        <f t="shared" si="18"/>
        <v>26.6</v>
      </c>
      <c r="F40" s="480">
        <v>0.3</v>
      </c>
      <c r="G40" s="461"/>
      <c r="H40" s="461"/>
      <c r="I40" s="461"/>
      <c r="J40" s="461"/>
      <c r="K40" s="461"/>
      <c r="L40" s="478">
        <f>+L35/N37</f>
        <v>16109.4883838964</v>
      </c>
      <c r="M40" s="479" t="s">
        <v>296</v>
      </c>
      <c r="N40" s="461"/>
      <c r="O40" s="461"/>
      <c r="P40" s="461"/>
      <c r="Q40" s="467"/>
    </row>
    <row r="41" spans="1:17">
      <c r="A41" s="466"/>
      <c r="B41" s="461"/>
      <c r="C41" s="418" t="s">
        <v>236</v>
      </c>
      <c r="D41" s="397" t="str">
        <f t="shared" si="18"/>
        <v>Jr</v>
      </c>
      <c r="E41" s="397">
        <f t="shared" si="18"/>
        <v>17.7</v>
      </c>
      <c r="F41" s="480">
        <v>0.3</v>
      </c>
      <c r="G41" s="461"/>
      <c r="H41" s="461"/>
      <c r="I41" s="461"/>
      <c r="J41" s="461"/>
      <c r="K41" s="461"/>
      <c r="L41" s="461"/>
      <c r="M41" s="461"/>
      <c r="N41" s="461"/>
      <c r="O41" s="461"/>
      <c r="P41" s="461"/>
      <c r="Q41" s="467"/>
    </row>
    <row r="42" spans="1:17">
      <c r="A42" s="466"/>
      <c r="B42" s="461"/>
      <c r="C42" s="337" t="s">
        <v>237</v>
      </c>
      <c r="D42" s="397" t="str">
        <f t="shared" ref="D42:E43" si="19">+D32</f>
        <v>SC</v>
      </c>
      <c r="E42" s="397">
        <f t="shared" si="19"/>
        <v>30</v>
      </c>
      <c r="F42" s="480">
        <v>0.3</v>
      </c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467"/>
    </row>
    <row r="43" spans="1:17">
      <c r="A43" s="466"/>
      <c r="B43" s="461"/>
      <c r="C43" s="337" t="s">
        <v>238</v>
      </c>
      <c r="D43" s="397" t="str">
        <f t="shared" si="19"/>
        <v>Sr</v>
      </c>
      <c r="E43" s="397">
        <f t="shared" si="19"/>
        <v>40</v>
      </c>
      <c r="F43" s="480">
        <v>0.3</v>
      </c>
      <c r="G43" s="461"/>
      <c r="H43" s="461"/>
      <c r="I43" s="461"/>
      <c r="J43" s="461"/>
      <c r="K43" s="461"/>
      <c r="L43" s="461"/>
      <c r="M43" s="461"/>
      <c r="N43" s="461"/>
      <c r="O43" s="461"/>
      <c r="P43" s="461"/>
      <c r="Q43" s="467"/>
    </row>
    <row r="44" spans="1:17" ht="13.5" thickBot="1">
      <c r="A44" s="466"/>
      <c r="B44" s="461"/>
      <c r="C44" s="481"/>
      <c r="D44" s="482"/>
      <c r="E44" s="482"/>
      <c r="F44" s="483">
        <f>AVERAGE(F39:F43)</f>
        <v>0.3</v>
      </c>
      <c r="G44" s="461"/>
      <c r="H44" s="461"/>
      <c r="I44" s="461"/>
      <c r="J44" s="461"/>
      <c r="K44" s="461"/>
      <c r="L44" s="461"/>
      <c r="M44" s="461"/>
      <c r="N44" s="461"/>
      <c r="O44" s="461"/>
      <c r="P44" s="461"/>
      <c r="Q44" s="467"/>
    </row>
    <row r="45" spans="1:17">
      <c r="A45" s="466"/>
      <c r="B45" s="461"/>
      <c r="C45" s="461"/>
      <c r="D45" s="461"/>
      <c r="E45" s="461"/>
      <c r="F45" s="461"/>
      <c r="G45" s="461"/>
      <c r="H45" s="461"/>
      <c r="I45" s="461"/>
      <c r="J45" s="461"/>
      <c r="K45" s="461"/>
      <c r="L45" s="461"/>
      <c r="M45" s="461"/>
      <c r="N45" s="461"/>
      <c r="O45" s="461"/>
      <c r="P45" s="461"/>
      <c r="Q45" s="467"/>
    </row>
    <row r="46" spans="1:17" ht="13.5" thickBot="1">
      <c r="A46" s="466"/>
      <c r="B46" s="461"/>
      <c r="C46" s="461"/>
      <c r="D46" s="461"/>
      <c r="E46" s="461"/>
      <c r="F46" s="461"/>
      <c r="G46" s="461"/>
      <c r="H46" s="461"/>
      <c r="I46" s="461"/>
      <c r="J46" s="461"/>
      <c r="K46" s="461"/>
      <c r="L46" s="461"/>
      <c r="M46" s="461"/>
      <c r="N46" s="461"/>
      <c r="O46" s="461"/>
      <c r="P46" s="461"/>
      <c r="Q46" s="467"/>
    </row>
    <row r="47" spans="1:17" ht="20.100000000000001" customHeight="1" thickBot="1">
      <c r="A47" s="466"/>
      <c r="B47" s="461"/>
      <c r="C47" s="484" t="s">
        <v>274</v>
      </c>
      <c r="D47" s="485" t="s">
        <v>269</v>
      </c>
      <c r="E47" s="485" t="s">
        <v>270</v>
      </c>
      <c r="F47" s="486" t="s">
        <v>297</v>
      </c>
      <c r="G47" s="461"/>
      <c r="H47" s="461"/>
      <c r="I47" s="461"/>
      <c r="J47" s="450" t="s">
        <v>292</v>
      </c>
      <c r="K47" s="450"/>
      <c r="L47" s="451" t="s">
        <v>266</v>
      </c>
      <c r="M47" s="451" t="s">
        <v>289</v>
      </c>
      <c r="N47" s="452" t="s">
        <v>288</v>
      </c>
      <c r="O47" s="461"/>
      <c r="P47" s="461"/>
      <c r="Q47" s="467"/>
    </row>
    <row r="48" spans="1:17" ht="20.100000000000001" customHeight="1" thickBot="1">
      <c r="A48" s="466"/>
      <c r="B48" s="461"/>
      <c r="C48" s="487" t="s">
        <v>267</v>
      </c>
      <c r="D48" s="455">
        <f>+D23*(1-F44)</f>
        <v>1050</v>
      </c>
      <c r="E48" s="353">
        <f>+D48*$M$5</f>
        <v>24744.020356234098</v>
      </c>
      <c r="F48" s="488">
        <f>+D48*$F$34</f>
        <v>1320.0000000000002</v>
      </c>
      <c r="G48" s="501">
        <f>F48/+$P$34</f>
        <v>0.63976735732460932</v>
      </c>
      <c r="H48" s="461"/>
      <c r="I48" s="461"/>
      <c r="J48" s="453" t="s">
        <v>287</v>
      </c>
      <c r="K48" s="453"/>
      <c r="L48" s="435">
        <f>+D23</f>
        <v>1500</v>
      </c>
      <c r="M48" s="449">
        <v>40</v>
      </c>
      <c r="N48" s="499">
        <f>+D23*M48</f>
        <v>60000</v>
      </c>
      <c r="O48" s="461"/>
      <c r="P48" s="461"/>
      <c r="Q48" s="467"/>
    </row>
    <row r="49" spans="1:17" ht="20.100000000000001" customHeight="1" thickBot="1">
      <c r="A49" s="466"/>
      <c r="B49" s="461"/>
      <c r="C49" s="487" t="s">
        <v>271</v>
      </c>
      <c r="D49" s="456">
        <f>+(D23-D48)*0.7</f>
        <v>315</v>
      </c>
      <c r="E49" s="353">
        <f t="shared" ref="E49:E51" si="20">+D49*$M$5</f>
        <v>7423.2061068702287</v>
      </c>
      <c r="F49" s="489">
        <f t="shared" ref="F49:F50" si="21">+D49*$F$34</f>
        <v>396.00000000000006</v>
      </c>
      <c r="G49" s="501">
        <f t="shared" ref="G49:G51" si="22">F49/+$P$34</f>
        <v>0.1919302071973828</v>
      </c>
      <c r="H49" s="461"/>
      <c r="I49" s="461"/>
      <c r="J49" s="453" t="s">
        <v>290</v>
      </c>
      <c r="K49" s="453"/>
      <c r="L49" s="435">
        <f>+I34</f>
        <v>1957.7</v>
      </c>
      <c r="M49" s="449">
        <f>+M5</f>
        <v>23.565733672603901</v>
      </c>
      <c r="N49" s="499">
        <f>+J34</f>
        <v>45812.399999999994</v>
      </c>
      <c r="O49" s="461"/>
      <c r="P49" s="461"/>
      <c r="Q49" s="467"/>
    </row>
    <row r="50" spans="1:17" ht="20.100000000000001" customHeight="1" thickBot="1">
      <c r="A50" s="466"/>
      <c r="B50" s="461"/>
      <c r="C50" s="490" t="s">
        <v>272</v>
      </c>
      <c r="D50" s="457">
        <f>+D23-D49-D48</f>
        <v>135</v>
      </c>
      <c r="E50" s="388">
        <f t="shared" si="20"/>
        <v>3181.3740458015268</v>
      </c>
      <c r="F50" s="491">
        <f t="shared" si="21"/>
        <v>169.71428571428575</v>
      </c>
      <c r="G50" s="501">
        <f t="shared" si="22"/>
        <v>8.2255803084592627E-2</v>
      </c>
      <c r="H50" s="461"/>
      <c r="I50" s="461"/>
      <c r="J50" s="454" t="s">
        <v>291</v>
      </c>
      <c r="K50" s="454"/>
      <c r="L50" s="435">
        <f>+P34</f>
        <v>2063.25</v>
      </c>
      <c r="M50" s="449">
        <f>+E34</f>
        <v>30.541599999999995</v>
      </c>
      <c r="N50" s="448">
        <f>+L34</f>
        <v>48622</v>
      </c>
      <c r="O50" s="461"/>
      <c r="P50" s="461"/>
      <c r="Q50" s="467"/>
    </row>
    <row r="51" spans="1:17" ht="20.100000000000001" customHeight="1" thickBot="1">
      <c r="A51" s="466"/>
      <c r="B51" s="461"/>
      <c r="C51" s="400" t="s">
        <v>273</v>
      </c>
      <c r="D51" s="458">
        <f>+P34-D23</f>
        <v>563.25</v>
      </c>
      <c r="E51" s="400">
        <f t="shared" si="20"/>
        <v>13273.399491094147</v>
      </c>
      <c r="F51" s="492">
        <f>+P34-F50-F49-F48</f>
        <v>177.53571428571399</v>
      </c>
      <c r="G51" s="501">
        <f t="shared" si="22"/>
        <v>8.6046632393415243E-2</v>
      </c>
      <c r="H51" s="461"/>
      <c r="I51" s="461"/>
      <c r="J51" s="466"/>
      <c r="K51" s="461"/>
      <c r="L51" s="461"/>
      <c r="M51" s="461"/>
      <c r="N51" s="467"/>
      <c r="O51" s="461"/>
      <c r="P51" s="461"/>
      <c r="Q51" s="467"/>
    </row>
    <row r="52" spans="1:17" ht="20.100000000000001" customHeight="1" thickBot="1">
      <c r="A52" s="466"/>
      <c r="B52" s="461"/>
      <c r="C52" s="493" t="s">
        <v>276</v>
      </c>
      <c r="D52" s="459">
        <f>+E52*D48/E48</f>
        <v>1755.8545205873884</v>
      </c>
      <c r="E52" s="360">
        <f>L35-SUM(E48:E51)</f>
        <v>41378</v>
      </c>
      <c r="F52" s="459">
        <f>+D52</f>
        <v>1755.8545205873884</v>
      </c>
      <c r="G52" s="461"/>
      <c r="H52" s="461"/>
      <c r="I52" s="461"/>
      <c r="J52" s="466"/>
      <c r="K52" s="461"/>
      <c r="L52" s="461"/>
      <c r="M52" s="461"/>
      <c r="N52" s="467"/>
      <c r="O52" s="461"/>
      <c r="P52" s="461"/>
      <c r="Q52" s="467"/>
    </row>
    <row r="53" spans="1:17" ht="20.100000000000001" customHeight="1" thickBot="1">
      <c r="A53" s="466"/>
      <c r="B53" s="461"/>
      <c r="C53" s="494" t="s">
        <v>277</v>
      </c>
      <c r="D53" s="495"/>
      <c r="E53" s="495">
        <v>0</v>
      </c>
      <c r="F53" s="495"/>
      <c r="G53" s="461"/>
      <c r="H53" s="461"/>
      <c r="I53" s="461"/>
      <c r="J53" s="496" t="s">
        <v>293</v>
      </c>
      <c r="K53" s="497"/>
      <c r="L53" s="435">
        <f>+D23</f>
        <v>1500</v>
      </c>
      <c r="M53" s="449">
        <f>+M4</f>
        <v>60</v>
      </c>
      <c r="N53" s="448">
        <f>+M53*L53</f>
        <v>90000</v>
      </c>
      <c r="O53" s="461"/>
      <c r="P53" s="461"/>
      <c r="Q53" s="467"/>
    </row>
    <row r="54" spans="1:17">
      <c r="A54" s="466"/>
      <c r="B54" s="461"/>
      <c r="C54" s="141"/>
      <c r="D54" s="141"/>
      <c r="E54" s="141"/>
      <c r="F54" s="141"/>
      <c r="G54" s="461"/>
      <c r="H54" s="461"/>
      <c r="I54" s="461"/>
      <c r="J54" s="141"/>
      <c r="K54" s="141"/>
      <c r="L54" s="141"/>
      <c r="M54" s="141"/>
      <c r="N54" s="141"/>
      <c r="O54" s="461"/>
      <c r="P54" s="461"/>
      <c r="Q54" s="467"/>
    </row>
    <row r="55" spans="1:17">
      <c r="A55" s="466"/>
      <c r="B55" s="461"/>
      <c r="C55" s="461"/>
      <c r="D55" s="461"/>
      <c r="E55" s="461"/>
      <c r="F55" s="461"/>
      <c r="G55" s="461"/>
      <c r="H55" s="461"/>
      <c r="I55" s="461"/>
      <c r="J55" s="461"/>
      <c r="K55" s="461"/>
      <c r="L55" s="461"/>
      <c r="M55" s="461"/>
      <c r="N55" s="461"/>
      <c r="O55" s="461"/>
      <c r="P55" s="461"/>
      <c r="Q55" s="467"/>
    </row>
    <row r="56" spans="1:17">
      <c r="A56" s="466"/>
      <c r="B56" s="461"/>
      <c r="C56" s="461"/>
      <c r="D56" s="461"/>
      <c r="E56" s="461"/>
      <c r="F56" s="461"/>
      <c r="G56" s="461"/>
      <c r="H56" s="461"/>
      <c r="I56" s="461"/>
      <c r="J56" s="461"/>
      <c r="K56" s="461"/>
      <c r="L56" s="461"/>
      <c r="M56" s="461"/>
      <c r="N56" s="461"/>
      <c r="O56" s="461"/>
      <c r="P56" s="461"/>
      <c r="Q56" s="467"/>
    </row>
    <row r="57" spans="1:17">
      <c r="A57" s="466"/>
      <c r="B57" s="461"/>
      <c r="C57" s="461"/>
      <c r="D57" s="461"/>
      <c r="E57" s="461"/>
      <c r="F57" s="461"/>
      <c r="G57" s="461"/>
      <c r="H57" s="461"/>
      <c r="I57" s="461"/>
      <c r="J57" s="461"/>
      <c r="K57" s="461"/>
      <c r="L57" s="461"/>
      <c r="M57" s="461"/>
      <c r="N57" s="461"/>
      <c r="O57" s="461"/>
      <c r="P57" s="461"/>
      <c r="Q57" s="467"/>
    </row>
    <row r="58" spans="1:17">
      <c r="A58" s="466"/>
      <c r="B58" s="461"/>
      <c r="C58" s="461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467"/>
    </row>
    <row r="59" spans="1:17">
      <c r="A59" s="466"/>
      <c r="B59" s="461"/>
      <c r="C59" s="461"/>
      <c r="D59" s="461"/>
      <c r="E59" s="461"/>
      <c r="F59" s="461"/>
      <c r="G59" s="461"/>
      <c r="H59" s="461"/>
      <c r="I59" s="461"/>
      <c r="J59" s="461"/>
      <c r="K59" s="461"/>
      <c r="L59" s="461"/>
      <c r="M59" s="461"/>
      <c r="N59" s="461"/>
      <c r="O59" s="461"/>
      <c r="P59" s="461"/>
      <c r="Q59" s="467"/>
    </row>
    <row r="60" spans="1:17" ht="13.5" thickBot="1">
      <c r="A60" s="472"/>
      <c r="B60" s="473"/>
      <c r="C60" s="473"/>
      <c r="D60" s="473"/>
      <c r="E60" s="473"/>
      <c r="F60" s="461"/>
      <c r="G60" s="461"/>
      <c r="H60" s="461"/>
      <c r="I60" s="461"/>
      <c r="J60" s="461"/>
      <c r="K60" s="473"/>
      <c r="L60" s="473"/>
      <c r="M60" s="473"/>
      <c r="N60" s="473"/>
      <c r="O60" s="473"/>
      <c r="P60" s="473"/>
      <c r="Q60" s="474"/>
    </row>
    <row r="61" spans="1:17" ht="13.5" thickBot="1">
      <c r="F61" s="503" t="s">
        <v>313</v>
      </c>
      <c r="G61" s="503" t="s">
        <v>311</v>
      </c>
      <c r="H61" s="503" t="s">
        <v>312</v>
      </c>
      <c r="I61" s="457" t="s">
        <v>314</v>
      </c>
      <c r="J61" s="492" t="s">
        <v>315</v>
      </c>
    </row>
    <row r="62" spans="1:17">
      <c r="F62" s="503">
        <v>220</v>
      </c>
      <c r="G62" s="503">
        <v>140</v>
      </c>
      <c r="H62" s="503">
        <f>+F62*G49</f>
        <v>42.224645583424213</v>
      </c>
      <c r="I62" s="457">
        <f>+F62*G50</f>
        <v>18.096276678610376</v>
      </c>
      <c r="J62" s="492">
        <f>+F62*G51</f>
        <v>18.930259126551352</v>
      </c>
    </row>
    <row r="63" spans="1:17">
      <c r="F63" s="42"/>
      <c r="G63" s="42"/>
      <c r="H63" s="42"/>
      <c r="I63" s="42"/>
      <c r="J63" s="42"/>
    </row>
    <row r="64" spans="1:17">
      <c r="F64" s="42"/>
      <c r="G64" s="502"/>
      <c r="H64" s="502" t="s">
        <v>305</v>
      </c>
      <c r="I64" s="502" t="s">
        <v>304</v>
      </c>
      <c r="J64" s="502" t="s">
        <v>310</v>
      </c>
    </row>
    <row r="65" spans="6:13">
      <c r="F65" s="42"/>
      <c r="G65" s="502" t="s">
        <v>303</v>
      </c>
      <c r="H65" s="42">
        <v>20</v>
      </c>
      <c r="I65" s="42">
        <v>35</v>
      </c>
      <c r="J65" s="42">
        <v>0</v>
      </c>
    </row>
    <row r="66" spans="6:13">
      <c r="F66" s="42"/>
      <c r="G66" s="502" t="s">
        <v>306</v>
      </c>
      <c r="H66" s="42">
        <v>20</v>
      </c>
      <c r="I66" s="42">
        <v>35</v>
      </c>
      <c r="J66" s="503">
        <v>30</v>
      </c>
    </row>
    <row r="67" spans="6:13">
      <c r="F67" s="42"/>
      <c r="G67" s="502" t="s">
        <v>307</v>
      </c>
      <c r="H67" s="42">
        <v>20</v>
      </c>
      <c r="I67" s="42">
        <v>35</v>
      </c>
      <c r="J67" s="42">
        <v>45</v>
      </c>
    </row>
    <row r="68" spans="6:13">
      <c r="F68" s="42"/>
      <c r="G68" s="502" t="s">
        <v>308</v>
      </c>
      <c r="H68" s="42">
        <v>30</v>
      </c>
      <c r="I68" s="42">
        <v>35</v>
      </c>
      <c r="J68" s="457">
        <v>50</v>
      </c>
    </row>
    <row r="69" spans="6:13">
      <c r="F69" s="42"/>
      <c r="G69" s="502" t="s">
        <v>309</v>
      </c>
      <c r="H69" s="42">
        <v>30</v>
      </c>
      <c r="I69" s="42">
        <v>0</v>
      </c>
      <c r="J69" s="42">
        <v>55</v>
      </c>
    </row>
    <row r="70" spans="6:13" ht="13.5" thickBot="1">
      <c r="F70" s="42"/>
      <c r="G70" s="502" t="s">
        <v>316</v>
      </c>
      <c r="H70" s="42">
        <v>40</v>
      </c>
      <c r="I70" s="42">
        <v>0</v>
      </c>
      <c r="J70" s="42">
        <v>58</v>
      </c>
    </row>
    <row r="71" spans="6:13">
      <c r="F71" s="42"/>
      <c r="G71" s="502" t="s">
        <v>317</v>
      </c>
      <c r="H71" s="42">
        <v>40</v>
      </c>
      <c r="I71" s="42">
        <v>0</v>
      </c>
      <c r="J71" s="492">
        <v>60</v>
      </c>
    </row>
    <row r="78" spans="6:13">
      <c r="G78" s="502"/>
      <c r="H78" s="502" t="s">
        <v>305</v>
      </c>
      <c r="I78" s="502" t="s">
        <v>318</v>
      </c>
      <c r="J78" s="504" t="s">
        <v>319</v>
      </c>
      <c r="L78" s="321" t="s">
        <v>314</v>
      </c>
      <c r="M78" s="307" t="str">
        <f>+J61</f>
        <v>Buffer Cri</v>
      </c>
    </row>
    <row r="79" spans="6:13">
      <c r="G79" s="502" t="s">
        <v>303</v>
      </c>
      <c r="H79" s="42">
        <v>120</v>
      </c>
      <c r="I79" s="42">
        <v>140</v>
      </c>
      <c r="J79">
        <f>+I79+42/4</f>
        <v>150.5</v>
      </c>
      <c r="L79">
        <f>+J79+18/4</f>
        <v>155</v>
      </c>
      <c r="M79">
        <f>+L79+19/7</f>
        <v>157.71428571428572</v>
      </c>
    </row>
    <row r="80" spans="6:13">
      <c r="G80" s="502" t="s">
        <v>306</v>
      </c>
      <c r="H80" s="42">
        <v>100</v>
      </c>
      <c r="I80" s="42">
        <f>+I79-50</f>
        <v>90</v>
      </c>
      <c r="J80">
        <f t="shared" ref="J80:J82" si="23">+I80+42/4</f>
        <v>100.5</v>
      </c>
      <c r="L80">
        <f t="shared" ref="L80:L82" si="24">+J80+18/4</f>
        <v>105</v>
      </c>
      <c r="M80">
        <f t="shared" ref="M80:M84" si="25">+L80+19/7</f>
        <v>107.71428571428571</v>
      </c>
    </row>
    <row r="81" spans="7:13">
      <c r="G81" s="502" t="s">
        <v>307</v>
      </c>
      <c r="H81" s="42">
        <v>70</v>
      </c>
      <c r="I81" s="42">
        <f>+I80-50</f>
        <v>40</v>
      </c>
      <c r="J81">
        <f t="shared" si="23"/>
        <v>50.5</v>
      </c>
      <c r="L81">
        <f t="shared" si="24"/>
        <v>55</v>
      </c>
      <c r="M81">
        <f t="shared" si="25"/>
        <v>57.714285714285715</v>
      </c>
    </row>
    <row r="82" spans="7:13">
      <c r="G82" s="502" t="s">
        <v>308</v>
      </c>
      <c r="H82" s="42">
        <v>60</v>
      </c>
      <c r="I82" s="42">
        <v>0</v>
      </c>
      <c r="J82">
        <f t="shared" si="23"/>
        <v>10.5</v>
      </c>
      <c r="L82">
        <f t="shared" si="24"/>
        <v>15</v>
      </c>
      <c r="M82">
        <f t="shared" si="25"/>
        <v>17.714285714285715</v>
      </c>
    </row>
    <row r="83" spans="7:13">
      <c r="G83" s="502" t="s">
        <v>309</v>
      </c>
      <c r="H83" s="42"/>
      <c r="I83" s="42">
        <v>0</v>
      </c>
      <c r="J83">
        <v>0</v>
      </c>
      <c r="L83">
        <v>4.5</v>
      </c>
      <c r="M83">
        <f t="shared" si="25"/>
        <v>7.2142857142857144</v>
      </c>
    </row>
    <row r="84" spans="7:13">
      <c r="G84" s="502" t="s">
        <v>316</v>
      </c>
      <c r="H84" s="42"/>
      <c r="I84" s="42"/>
      <c r="L84">
        <v>0</v>
      </c>
      <c r="M84">
        <f t="shared" si="25"/>
        <v>2.7142857142857144</v>
      </c>
    </row>
    <row r="85" spans="7:13">
      <c r="G85" s="502" t="s">
        <v>317</v>
      </c>
      <c r="H85" s="42"/>
      <c r="I85" s="42"/>
      <c r="M85">
        <v>0</v>
      </c>
    </row>
  </sheetData>
  <dataValidations disablePrompts="1" count="1">
    <dataValidation type="list" allowBlank="1" showInputMessage="1" showErrorMessage="1" sqref="D27:D33">
      <formula1>$D$3:$I$3</formula1>
    </dataValidation>
  </dataValidations>
  <pageMargins left="0.70866141732283472" right="0.70866141732283472" top="0.74803149606299213" bottom="0.74803149606299213" header="0.31496062992125984" footer="0.31496062992125984"/>
  <pageSetup paperSize="9" scale="58" orientation="landscape" horizontalDpi="0" r:id="rId1"/>
  <ignoredErrors>
    <ignoredError sqref="N32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6" tint="-0.499984740745262"/>
  </sheetPr>
  <dimension ref="C2:Q51"/>
  <sheetViews>
    <sheetView topLeftCell="A7" workbookViewId="0">
      <selection activeCell="G28" sqref="G28"/>
    </sheetView>
  </sheetViews>
  <sheetFormatPr defaultRowHeight="12.75"/>
  <cols>
    <col min="1" max="1" width="2.140625" customWidth="1"/>
    <col min="2" max="2" width="3.140625" customWidth="1"/>
    <col min="3" max="3" width="22.7109375" customWidth="1"/>
    <col min="4" max="4" width="11.7109375" customWidth="1"/>
    <col min="5" max="5" width="11.5703125" customWidth="1"/>
    <col min="6" max="6" width="11.28515625" bestFit="1" customWidth="1"/>
    <col min="7" max="7" width="14" customWidth="1"/>
    <col min="8" max="8" width="12.42578125" bestFit="1" customWidth="1"/>
    <col min="9" max="9" width="10.85546875" bestFit="1" customWidth="1"/>
    <col min="10" max="11" width="9.85546875" bestFit="1" customWidth="1"/>
    <col min="12" max="12" width="11.85546875" customWidth="1"/>
    <col min="13" max="13" width="10.28515625" bestFit="1" customWidth="1"/>
    <col min="14" max="14" width="11.28515625" bestFit="1" customWidth="1"/>
    <col min="15" max="15" width="10.28515625" bestFit="1" customWidth="1"/>
    <col min="16" max="17" width="9.85546875" bestFit="1" customWidth="1"/>
  </cols>
  <sheetData>
    <row r="2" spans="3:14">
      <c r="C2" s="353" t="s">
        <v>263</v>
      </c>
      <c r="D2" s="353"/>
      <c r="E2" s="353"/>
      <c r="F2" s="353"/>
      <c r="G2" s="353"/>
      <c r="H2" s="353"/>
      <c r="I2" s="353"/>
    </row>
    <row r="3" spans="3:14">
      <c r="C3" s="346" t="s">
        <v>232</v>
      </c>
      <c r="D3" s="337" t="s">
        <v>230</v>
      </c>
      <c r="E3" s="337" t="s">
        <v>222</v>
      </c>
      <c r="F3" s="337" t="s">
        <v>223</v>
      </c>
      <c r="G3" s="337" t="s">
        <v>224</v>
      </c>
      <c r="H3" s="337" t="s">
        <v>231</v>
      </c>
      <c r="I3" s="356" t="s">
        <v>229</v>
      </c>
    </row>
    <row r="4" spans="3:14">
      <c r="C4" s="337" t="s">
        <v>225</v>
      </c>
      <c r="D4" s="408">
        <v>15</v>
      </c>
      <c r="E4" s="408">
        <v>25</v>
      </c>
      <c r="F4" s="408">
        <v>40</v>
      </c>
      <c r="G4" s="408">
        <v>50</v>
      </c>
      <c r="H4" s="408">
        <v>55</v>
      </c>
      <c r="I4" s="409">
        <v>25</v>
      </c>
      <c r="L4" s="351" t="s">
        <v>256</v>
      </c>
      <c r="M4" s="352">
        <f>18*4.3</f>
        <v>77.399999999999991</v>
      </c>
    </row>
    <row r="5" spans="3:14">
      <c r="C5" s="337" t="s">
        <v>226</v>
      </c>
      <c r="D5" s="408">
        <v>15</v>
      </c>
      <c r="E5" s="408">
        <v>25</v>
      </c>
      <c r="F5" s="408">
        <v>45</v>
      </c>
      <c r="G5" s="408">
        <v>50</v>
      </c>
      <c r="H5" s="408"/>
      <c r="I5" s="409"/>
      <c r="L5" s="353" t="s">
        <v>257</v>
      </c>
      <c r="M5" s="353">
        <f>+G32/I23</f>
        <v>39.583333333333336</v>
      </c>
    </row>
    <row r="6" spans="3:14">
      <c r="C6" s="337" t="s">
        <v>227</v>
      </c>
      <c r="D6" s="408">
        <v>15</v>
      </c>
      <c r="E6" s="408">
        <v>25</v>
      </c>
      <c r="F6" s="408">
        <v>40</v>
      </c>
      <c r="G6" s="408">
        <v>50</v>
      </c>
      <c r="H6" s="408">
        <v>40</v>
      </c>
      <c r="I6" s="409"/>
      <c r="L6" s="354" t="s">
        <v>261</v>
      </c>
      <c r="M6" s="355">
        <f>+M4/M5-1</f>
        <v>0.9553684210526312</v>
      </c>
    </row>
    <row r="7" spans="3:14">
      <c r="C7" s="337" t="s">
        <v>228</v>
      </c>
      <c r="D7" s="408"/>
      <c r="E7" s="408"/>
      <c r="F7" s="408">
        <v>45</v>
      </c>
      <c r="G7" s="408">
        <v>50</v>
      </c>
      <c r="H7" s="408">
        <v>80</v>
      </c>
      <c r="I7" s="409"/>
    </row>
    <row r="8" spans="3:14">
      <c r="C8" s="337"/>
      <c r="D8" s="408"/>
      <c r="E8" s="408"/>
      <c r="F8" s="408"/>
      <c r="G8" s="408"/>
      <c r="H8" s="408"/>
      <c r="I8" s="409"/>
      <c r="L8" s="352" t="s">
        <v>258</v>
      </c>
      <c r="M8" s="352"/>
      <c r="N8" s="352">
        <f>+G33</f>
        <v>23219.999999999996</v>
      </c>
    </row>
    <row r="9" spans="3:14">
      <c r="C9" s="337"/>
      <c r="D9" s="408"/>
      <c r="E9" s="408"/>
      <c r="F9" s="408"/>
      <c r="G9" s="408"/>
      <c r="H9" s="408"/>
      <c r="I9" s="409"/>
      <c r="L9" s="353" t="s">
        <v>262</v>
      </c>
      <c r="M9" s="353"/>
      <c r="N9" s="353">
        <f>+G32</f>
        <v>16625</v>
      </c>
    </row>
    <row r="10" spans="3:14">
      <c r="C10" s="337"/>
      <c r="D10" s="408"/>
      <c r="E10" s="408"/>
      <c r="F10" s="408"/>
      <c r="G10" s="408"/>
      <c r="H10" s="408"/>
      <c r="I10" s="409"/>
      <c r="L10" s="354" t="s">
        <v>259</v>
      </c>
      <c r="M10" s="354"/>
      <c r="N10" s="355">
        <f>+N8/N9-1</f>
        <v>0.3966917293233081</v>
      </c>
    </row>
    <row r="11" spans="3:14">
      <c r="C11" s="337"/>
      <c r="D11" s="408"/>
      <c r="E11" s="408"/>
      <c r="F11" s="408"/>
      <c r="G11" s="408"/>
      <c r="H11" s="408"/>
      <c r="I11" s="409"/>
      <c r="L11" s="354" t="s">
        <v>260</v>
      </c>
      <c r="M11" s="354"/>
      <c r="N11" s="355">
        <f>+N8/F32-1</f>
        <v>0.94716981132075451</v>
      </c>
    </row>
    <row r="12" spans="3:14" ht="13.5" thickBot="1">
      <c r="C12" s="337"/>
      <c r="D12" s="408"/>
      <c r="E12" s="408"/>
      <c r="F12" s="408"/>
      <c r="G12" s="408"/>
      <c r="H12" s="408"/>
      <c r="I12" s="409"/>
    </row>
    <row r="13" spans="3:14" ht="13.5" thickBot="1">
      <c r="C13" s="338"/>
      <c r="D13" s="410"/>
      <c r="E13" s="410"/>
      <c r="F13" s="410"/>
      <c r="G13" s="410"/>
      <c r="H13" s="410"/>
      <c r="I13" s="411"/>
      <c r="L13" s="399" t="s">
        <v>275</v>
      </c>
      <c r="M13" s="383"/>
    </row>
    <row r="16" spans="3:14" ht="13.5" thickBot="1"/>
    <row r="17" spans="3:17" ht="13.5" thickBot="1">
      <c r="C17" s="369" t="s">
        <v>264</v>
      </c>
      <c r="D17" s="370"/>
      <c r="E17" s="370"/>
      <c r="F17" s="370"/>
      <c r="G17" s="370"/>
      <c r="H17" s="370"/>
      <c r="I17" s="371"/>
    </row>
    <row r="18" spans="3:17" ht="13.5" thickBot="1">
      <c r="C18" s="334"/>
      <c r="D18" s="335" t="s">
        <v>245</v>
      </c>
      <c r="E18" s="335" t="s">
        <v>247</v>
      </c>
      <c r="F18" s="335" t="s">
        <v>249</v>
      </c>
      <c r="G18" s="335" t="s">
        <v>248</v>
      </c>
      <c r="H18" s="349" t="s">
        <v>250</v>
      </c>
      <c r="I18" s="372" t="s">
        <v>254</v>
      </c>
      <c r="L18" s="347" t="s">
        <v>268</v>
      </c>
      <c r="M18" s="347"/>
    </row>
    <row r="19" spans="3:17">
      <c r="C19" s="337" t="s">
        <v>233</v>
      </c>
      <c r="D19" s="376">
        <v>45</v>
      </c>
      <c r="E19" s="363">
        <v>1</v>
      </c>
      <c r="F19" s="382">
        <v>1</v>
      </c>
      <c r="G19" s="366">
        <f t="shared" ref="G19:G21" si="0">+D19/35/E19*(1/F19)</f>
        <v>1.2857142857142858</v>
      </c>
      <c r="H19" s="367">
        <f t="shared" ref="H19:H21" si="1">+(ROUNDDOWN(G19,0)+1)*(40*E19)*(F19)</f>
        <v>80</v>
      </c>
      <c r="I19" s="373">
        <f>+H19/40*35</f>
        <v>70</v>
      </c>
      <c r="J19" s="333"/>
      <c r="K19" s="333"/>
      <c r="L19" s="375">
        <v>30</v>
      </c>
      <c r="M19" s="376">
        <v>45</v>
      </c>
      <c r="N19" s="376">
        <v>65</v>
      </c>
      <c r="O19" s="377">
        <v>80</v>
      </c>
    </row>
    <row r="20" spans="3:17">
      <c r="C20" s="337" t="s">
        <v>225</v>
      </c>
      <c r="D20" s="340">
        <v>150</v>
      </c>
      <c r="E20" s="363">
        <v>2</v>
      </c>
      <c r="F20" s="382">
        <v>1</v>
      </c>
      <c r="G20" s="366">
        <f t="shared" si="0"/>
        <v>2.1428571428571428</v>
      </c>
      <c r="H20" s="367">
        <f t="shared" si="1"/>
        <v>240</v>
      </c>
      <c r="I20" s="373">
        <f t="shared" ref="I20:I22" si="2">+H20/40*35</f>
        <v>210</v>
      </c>
      <c r="J20" s="333"/>
      <c r="K20" s="333"/>
      <c r="L20" s="378">
        <v>100</v>
      </c>
      <c r="M20" s="340">
        <v>150</v>
      </c>
      <c r="N20" s="340">
        <v>205</v>
      </c>
      <c r="O20" s="379">
        <v>500</v>
      </c>
    </row>
    <row r="21" spans="3:17">
      <c r="C21" s="337" t="s">
        <v>227</v>
      </c>
      <c r="D21" s="340">
        <v>45</v>
      </c>
      <c r="E21" s="363">
        <v>1</v>
      </c>
      <c r="F21" s="382">
        <v>1</v>
      </c>
      <c r="G21" s="366">
        <f t="shared" si="0"/>
        <v>1.2857142857142858</v>
      </c>
      <c r="H21" s="367">
        <f t="shared" si="1"/>
        <v>80</v>
      </c>
      <c r="I21" s="373">
        <f t="shared" si="2"/>
        <v>70</v>
      </c>
      <c r="J21" s="333"/>
      <c r="K21" s="333"/>
      <c r="L21" s="378">
        <v>30</v>
      </c>
      <c r="M21" s="340">
        <v>45</v>
      </c>
      <c r="N21" s="340">
        <v>65</v>
      </c>
      <c r="O21" s="379">
        <v>80</v>
      </c>
    </row>
    <row r="22" spans="3:17">
      <c r="C22" s="337" t="s">
        <v>228</v>
      </c>
      <c r="D22" s="340">
        <v>60</v>
      </c>
      <c r="E22" s="363">
        <v>1</v>
      </c>
      <c r="F22" s="382">
        <v>0.5</v>
      </c>
      <c r="G22" s="366">
        <f>+D22/35/E22*(1/F22)</f>
        <v>3.4285714285714284</v>
      </c>
      <c r="H22" s="367">
        <f>+(ROUNDDOWN(G22,0)+1)*(40*E22)*(F22)</f>
        <v>80</v>
      </c>
      <c r="I22" s="373">
        <f t="shared" si="2"/>
        <v>70</v>
      </c>
      <c r="J22" s="333"/>
      <c r="K22" s="333"/>
      <c r="L22" s="378">
        <v>30</v>
      </c>
      <c r="M22" s="340">
        <v>60</v>
      </c>
      <c r="N22" s="340">
        <v>65</v>
      </c>
      <c r="O22" s="379">
        <v>100</v>
      </c>
    </row>
    <row r="23" spans="3:17" ht="13.5" thickBot="1">
      <c r="C23" s="338" t="s">
        <v>246</v>
      </c>
      <c r="D23" s="348">
        <v>300</v>
      </c>
      <c r="E23" s="341">
        <f>SUM(E19:E22)</f>
        <v>5</v>
      </c>
      <c r="F23" s="342"/>
      <c r="G23" s="343">
        <f>AVERAGE(G19:G22)*2.5</f>
        <v>5.0892857142857135</v>
      </c>
      <c r="H23" s="350">
        <f>SUM(H19:H22)</f>
        <v>480</v>
      </c>
      <c r="I23" s="374">
        <f>SUM(I19:I22)</f>
        <v>420</v>
      </c>
      <c r="J23" s="333"/>
      <c r="K23" s="333"/>
      <c r="L23" s="380">
        <v>190</v>
      </c>
      <c r="M23" s="348">
        <v>300</v>
      </c>
      <c r="N23" s="348">
        <f>SUM(N19:N22)</f>
        <v>400</v>
      </c>
      <c r="O23" s="381">
        <v>760</v>
      </c>
    </row>
    <row r="24" spans="3:17">
      <c r="C24" s="332"/>
      <c r="D24" s="141"/>
      <c r="E24" s="141"/>
    </row>
    <row r="25" spans="3:17">
      <c r="C25" s="353" t="s">
        <v>264</v>
      </c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353"/>
      <c r="O25" s="353"/>
      <c r="P25" s="353"/>
      <c r="Q25" s="353"/>
    </row>
    <row r="26" spans="3:17">
      <c r="C26" s="337" t="s">
        <v>1</v>
      </c>
      <c r="D26" s="337" t="s">
        <v>224</v>
      </c>
      <c r="E26" s="337" t="s">
        <v>253</v>
      </c>
      <c r="F26" s="337" t="s">
        <v>251</v>
      </c>
      <c r="G26" s="337" t="s">
        <v>255</v>
      </c>
      <c r="H26" s="337" t="s">
        <v>252</v>
      </c>
      <c r="I26" s="337"/>
      <c r="J26" s="337" t="s">
        <v>241</v>
      </c>
      <c r="K26" s="337"/>
      <c r="L26" s="337" t="s">
        <v>240</v>
      </c>
      <c r="M26" s="337"/>
      <c r="N26" s="337" t="s">
        <v>242</v>
      </c>
      <c r="O26" s="337"/>
      <c r="P26" s="337" t="s">
        <v>243</v>
      </c>
      <c r="Q26" s="337"/>
    </row>
    <row r="27" spans="3:17">
      <c r="C27" s="337" t="s">
        <v>234</v>
      </c>
      <c r="D27" s="363" t="s">
        <v>224</v>
      </c>
      <c r="E27" s="407">
        <f>+G5</f>
        <v>50</v>
      </c>
      <c r="F27" s="364">
        <f>+E27*D19</f>
        <v>2250</v>
      </c>
      <c r="G27" s="365">
        <f>+E27*I19</f>
        <v>3500</v>
      </c>
      <c r="H27" s="392">
        <v>30</v>
      </c>
      <c r="I27" s="393">
        <f>+H27* $E27</f>
        <v>1500</v>
      </c>
      <c r="J27" s="392">
        <v>15</v>
      </c>
      <c r="K27" s="393">
        <f>+J27* $E27</f>
        <v>750</v>
      </c>
      <c r="L27" s="392"/>
      <c r="M27" s="393">
        <f>+L27* $E27</f>
        <v>0</v>
      </c>
      <c r="N27" s="392"/>
      <c r="O27" s="393">
        <f>+N27* $E27</f>
        <v>0</v>
      </c>
      <c r="P27" s="392"/>
      <c r="Q27" s="393">
        <f>+P27* $E27</f>
        <v>0</v>
      </c>
    </row>
    <row r="28" spans="3:17">
      <c r="C28" s="337" t="s">
        <v>235</v>
      </c>
      <c r="D28" s="363" t="s">
        <v>223</v>
      </c>
      <c r="E28" s="407">
        <f>+F4</f>
        <v>40</v>
      </c>
      <c r="F28" s="364">
        <f>+D20/2*E28</f>
        <v>3000</v>
      </c>
      <c r="G28" s="365">
        <f>+E28/2*I20</f>
        <v>4200</v>
      </c>
      <c r="H28" s="392">
        <v>10</v>
      </c>
      <c r="I28" s="393">
        <f t="shared" ref="I28:I31" si="3">+H28* $E28</f>
        <v>400</v>
      </c>
      <c r="J28" s="392">
        <v>20</v>
      </c>
      <c r="K28" s="393">
        <f>+J28* $E28</f>
        <v>800</v>
      </c>
      <c r="L28" s="392">
        <v>30</v>
      </c>
      <c r="M28" s="393">
        <f t="shared" ref="M28" si="4">+L28* $E28</f>
        <v>1200</v>
      </c>
      <c r="N28" s="392">
        <v>10</v>
      </c>
      <c r="O28" s="393">
        <f t="shared" ref="O28" si="5">+N28* $E28</f>
        <v>400</v>
      </c>
      <c r="P28" s="392">
        <v>5</v>
      </c>
      <c r="Q28" s="393">
        <f t="shared" ref="Q28" si="6">+P28* $E28</f>
        <v>200</v>
      </c>
    </row>
    <row r="29" spans="3:17">
      <c r="C29" s="337" t="s">
        <v>236</v>
      </c>
      <c r="D29" s="363" t="s">
        <v>222</v>
      </c>
      <c r="E29" s="407">
        <f>+E4</f>
        <v>25</v>
      </c>
      <c r="F29" s="364">
        <f>+D20/2* E29</f>
        <v>1875</v>
      </c>
      <c r="G29" s="365">
        <f>+E29/2*I20</f>
        <v>2625</v>
      </c>
      <c r="H29" s="392">
        <v>10</v>
      </c>
      <c r="I29" s="393">
        <f t="shared" si="3"/>
        <v>250</v>
      </c>
      <c r="J29" s="392">
        <v>20</v>
      </c>
      <c r="K29" s="393">
        <f>+J29* $E29</f>
        <v>500</v>
      </c>
      <c r="L29" s="392">
        <v>30</v>
      </c>
      <c r="M29" s="393">
        <f t="shared" ref="M29" si="7">+L29* $E29</f>
        <v>750</v>
      </c>
      <c r="N29" s="392">
        <v>10</v>
      </c>
      <c r="O29" s="393">
        <f t="shared" ref="O29" si="8">+N29* $E29</f>
        <v>250</v>
      </c>
      <c r="P29" s="392">
        <v>5</v>
      </c>
      <c r="Q29" s="393">
        <f t="shared" ref="Q29" si="9">+P29* $E29</f>
        <v>125</v>
      </c>
    </row>
    <row r="30" spans="3:17">
      <c r="C30" s="337" t="s">
        <v>237</v>
      </c>
      <c r="D30" s="363" t="s">
        <v>244</v>
      </c>
      <c r="E30" s="407">
        <f>+H6</f>
        <v>40</v>
      </c>
      <c r="F30" s="364">
        <f>+D21* E30</f>
        <v>1800</v>
      </c>
      <c r="G30" s="365">
        <f>+E30*I21</f>
        <v>2800</v>
      </c>
      <c r="H30" s="392"/>
      <c r="I30" s="393">
        <f t="shared" si="3"/>
        <v>0</v>
      </c>
      <c r="J30" s="392"/>
      <c r="K30" s="393">
        <f>+J30* $E30</f>
        <v>0</v>
      </c>
      <c r="L30" s="392"/>
      <c r="M30" s="393">
        <f t="shared" ref="M30" si="10">+L30* $E30</f>
        <v>0</v>
      </c>
      <c r="N30" s="392">
        <v>30</v>
      </c>
      <c r="O30" s="393">
        <f t="shared" ref="O30" si="11">+N30* $E30</f>
        <v>1200</v>
      </c>
      <c r="P30" s="392">
        <v>15</v>
      </c>
      <c r="Q30" s="393">
        <f t="shared" ref="Q30" si="12">+P30* $E30</f>
        <v>600</v>
      </c>
    </row>
    <row r="31" spans="3:17">
      <c r="C31" s="337" t="s">
        <v>238</v>
      </c>
      <c r="D31" s="363" t="s">
        <v>224</v>
      </c>
      <c r="E31" s="407">
        <f>+G7</f>
        <v>50</v>
      </c>
      <c r="F31" s="364">
        <f>+D22* E31</f>
        <v>3000</v>
      </c>
      <c r="G31" s="365">
        <f>+E31*I22</f>
        <v>3500</v>
      </c>
      <c r="H31" s="392">
        <f>60/5</f>
        <v>12</v>
      </c>
      <c r="I31" s="393">
        <f t="shared" si="3"/>
        <v>600</v>
      </c>
      <c r="J31" s="392">
        <v>12</v>
      </c>
      <c r="K31" s="393">
        <f>+J31* $E31</f>
        <v>600</v>
      </c>
      <c r="L31" s="392">
        <v>12</v>
      </c>
      <c r="M31" s="393">
        <f t="shared" ref="M31" si="13">+L31* $E31</f>
        <v>600</v>
      </c>
      <c r="N31" s="392">
        <v>12</v>
      </c>
      <c r="O31" s="393">
        <f t="shared" ref="O31" si="14">+N31* $E31</f>
        <v>600</v>
      </c>
      <c r="P31" s="392">
        <v>12</v>
      </c>
      <c r="Q31" s="393">
        <f t="shared" ref="Q31" si="15">+P31* $E31</f>
        <v>600</v>
      </c>
    </row>
    <row r="32" spans="3:17" ht="13.5" thickBot="1">
      <c r="C32" s="337"/>
      <c r="D32" s="340"/>
      <c r="E32" s="344">
        <f>+F32/D23</f>
        <v>39.75</v>
      </c>
      <c r="F32" s="357">
        <f t="shared" ref="F32:Q32" si="16">SUM(F27:F31)</f>
        <v>11925</v>
      </c>
      <c r="G32" s="358">
        <f>SUM(G27:G31)</f>
        <v>16625</v>
      </c>
      <c r="H32" s="394">
        <f t="shared" si="16"/>
        <v>62</v>
      </c>
      <c r="I32" s="395">
        <f t="shared" si="16"/>
        <v>2750</v>
      </c>
      <c r="J32" s="396">
        <f t="shared" si="16"/>
        <v>67</v>
      </c>
      <c r="K32" s="395">
        <f t="shared" si="16"/>
        <v>2650</v>
      </c>
      <c r="L32" s="396">
        <f t="shared" si="16"/>
        <v>72</v>
      </c>
      <c r="M32" s="395">
        <f t="shared" si="16"/>
        <v>2550</v>
      </c>
      <c r="N32" s="396">
        <f t="shared" si="16"/>
        <v>62</v>
      </c>
      <c r="O32" s="395">
        <f t="shared" si="16"/>
        <v>2450</v>
      </c>
      <c r="P32" s="396">
        <f t="shared" si="16"/>
        <v>37</v>
      </c>
      <c r="Q32" s="395">
        <f t="shared" si="16"/>
        <v>1525</v>
      </c>
    </row>
    <row r="33" spans="3:17">
      <c r="F33" s="359">
        <f>+$D$23*$M$4</f>
        <v>23219.999999999996</v>
      </c>
      <c r="G33" s="360">
        <f>+$D$23* $M$4</f>
        <v>23219.999999999996</v>
      </c>
    </row>
    <row r="34" spans="3:17" ht="13.5" thickBot="1">
      <c r="F34" s="361">
        <f>+F33/F32-1</f>
        <v>0.94716981132075451</v>
      </c>
      <c r="G34" s="362">
        <f>+G33/G32-1</f>
        <v>0.3966917293233081</v>
      </c>
      <c r="K34" s="1"/>
    </row>
    <row r="36" spans="3:17">
      <c r="C36" s="353" t="s">
        <v>267</v>
      </c>
      <c r="D36" s="353" t="s">
        <v>265</v>
      </c>
      <c r="E36" s="353" t="s">
        <v>266</v>
      </c>
      <c r="F36" s="353" t="s">
        <v>217</v>
      </c>
      <c r="G36" s="353"/>
      <c r="H36" s="353" t="s">
        <v>239</v>
      </c>
      <c r="I36" s="353"/>
      <c r="J36" s="353" t="s">
        <v>241</v>
      </c>
      <c r="K36" s="353"/>
      <c r="L36" s="353" t="s">
        <v>240</v>
      </c>
      <c r="M36" s="353"/>
      <c r="N36" s="353" t="s">
        <v>242</v>
      </c>
      <c r="O36" s="353"/>
      <c r="P36" s="353" t="s">
        <v>243</v>
      </c>
      <c r="Q36" s="353"/>
    </row>
    <row r="37" spans="3:17">
      <c r="C37" s="337" t="s">
        <v>234</v>
      </c>
      <c r="D37" s="363" t="s">
        <v>224</v>
      </c>
      <c r="E37" s="364">
        <v>65</v>
      </c>
      <c r="F37" s="382">
        <v>0.3</v>
      </c>
      <c r="G37" s="368"/>
      <c r="H37" s="398">
        <f>+H27-H27*$F37</f>
        <v>21</v>
      </c>
      <c r="I37" s="393">
        <f>+H37* $E37</f>
        <v>1365</v>
      </c>
      <c r="J37" s="398">
        <f>+J27-J27*$F37</f>
        <v>10.5</v>
      </c>
      <c r="K37" s="393">
        <f>+J37* $E37</f>
        <v>682.5</v>
      </c>
      <c r="L37" s="398">
        <f>+L27-L27*$F37</f>
        <v>0</v>
      </c>
      <c r="M37" s="393">
        <f>+L37* $E37</f>
        <v>0</v>
      </c>
      <c r="N37" s="398">
        <f>+N27-N27*$F37</f>
        <v>0</v>
      </c>
      <c r="O37" s="393">
        <f>+N37* $E37</f>
        <v>0</v>
      </c>
      <c r="P37" s="398">
        <f>+P27-P27*$F37</f>
        <v>0</v>
      </c>
      <c r="Q37" s="393">
        <f>+P37* $E37</f>
        <v>0</v>
      </c>
    </row>
    <row r="38" spans="3:17">
      <c r="C38" s="337" t="s">
        <v>235</v>
      </c>
      <c r="D38" s="363" t="s">
        <v>223</v>
      </c>
      <c r="E38" s="364">
        <v>40</v>
      </c>
      <c r="F38" s="382">
        <v>0.3</v>
      </c>
      <c r="G38" s="368"/>
      <c r="H38" s="398">
        <f>+H28-H28*$F38</f>
        <v>7</v>
      </c>
      <c r="I38" s="393">
        <f t="shared" ref="I38" si="17">+H38* $E38</f>
        <v>280</v>
      </c>
      <c r="J38" s="398">
        <f>+J28-J28*$F38</f>
        <v>14</v>
      </c>
      <c r="K38" s="393">
        <f t="shared" ref="K38" si="18">+J38* $E38</f>
        <v>560</v>
      </c>
      <c r="L38" s="398">
        <f>+L28-L28*$F38</f>
        <v>21</v>
      </c>
      <c r="M38" s="393">
        <f>+L38* $E38</f>
        <v>840</v>
      </c>
      <c r="N38" s="398">
        <f>+N28-N28*$F38</f>
        <v>7</v>
      </c>
      <c r="O38" s="393">
        <f t="shared" ref="O38:O41" si="19">+N38* $E38</f>
        <v>280</v>
      </c>
      <c r="P38" s="398">
        <f>+P28-P28*$F38</f>
        <v>3.5</v>
      </c>
      <c r="Q38" s="393">
        <f t="shared" ref="Q38:Q41" si="20">+P38* $E38</f>
        <v>140</v>
      </c>
    </row>
    <row r="39" spans="3:17">
      <c r="C39" s="337" t="s">
        <v>236</v>
      </c>
      <c r="D39" s="363" t="s">
        <v>222</v>
      </c>
      <c r="E39" s="364">
        <v>25</v>
      </c>
      <c r="F39" s="382">
        <v>0.3</v>
      </c>
      <c r="G39" s="368"/>
      <c r="H39" s="398">
        <f>+H29-H29*$F39</f>
        <v>7</v>
      </c>
      <c r="I39" s="393">
        <f t="shared" ref="I39" si="21">+H39* $E39</f>
        <v>175</v>
      </c>
      <c r="J39" s="398">
        <f>+J29-J29*$F39</f>
        <v>14</v>
      </c>
      <c r="K39" s="393">
        <f t="shared" ref="K39" si="22">+J39* $E39</f>
        <v>350</v>
      </c>
      <c r="L39" s="398">
        <f>+L29-L29*$F39</f>
        <v>21</v>
      </c>
      <c r="M39" s="393">
        <f>+L39* $E39</f>
        <v>525</v>
      </c>
      <c r="N39" s="398">
        <f>+N29-N29*$F39</f>
        <v>7</v>
      </c>
      <c r="O39" s="393">
        <f t="shared" si="19"/>
        <v>175</v>
      </c>
      <c r="P39" s="398">
        <f>+P29-P29*$F39</f>
        <v>3.5</v>
      </c>
      <c r="Q39" s="393">
        <f t="shared" si="20"/>
        <v>87.5</v>
      </c>
    </row>
    <row r="40" spans="3:17">
      <c r="C40" s="337" t="s">
        <v>237</v>
      </c>
      <c r="D40" s="363" t="s">
        <v>244</v>
      </c>
      <c r="E40" s="364">
        <v>40</v>
      </c>
      <c r="F40" s="382">
        <v>0.3</v>
      </c>
      <c r="G40" s="368"/>
      <c r="H40" s="398">
        <f>+H30-H30*$F40</f>
        <v>0</v>
      </c>
      <c r="I40" s="393">
        <f t="shared" ref="I40" si="23">+H40* $E40</f>
        <v>0</v>
      </c>
      <c r="J40" s="398">
        <f>+J30-J30*$F40</f>
        <v>0</v>
      </c>
      <c r="K40" s="393">
        <f t="shared" ref="K40" si="24">+J40* $E40</f>
        <v>0</v>
      </c>
      <c r="L40" s="398">
        <f>+L30-L30*$F40</f>
        <v>0</v>
      </c>
      <c r="M40" s="393">
        <f>+L40* $E40</f>
        <v>0</v>
      </c>
      <c r="N40" s="398">
        <f>+N30-N30*$F40</f>
        <v>21</v>
      </c>
      <c r="O40" s="393">
        <f t="shared" si="19"/>
        <v>840</v>
      </c>
      <c r="P40" s="398">
        <f>+P30-P30*$F40</f>
        <v>10.5</v>
      </c>
      <c r="Q40" s="393">
        <f t="shared" si="20"/>
        <v>420</v>
      </c>
    </row>
    <row r="41" spans="3:17">
      <c r="C41" s="337" t="s">
        <v>238</v>
      </c>
      <c r="D41" s="363" t="s">
        <v>224</v>
      </c>
      <c r="E41" s="364">
        <v>70</v>
      </c>
      <c r="F41" s="382">
        <v>0.3</v>
      </c>
      <c r="G41" s="368"/>
      <c r="H41" s="398">
        <f>+H31-H31*$F41</f>
        <v>8.4</v>
      </c>
      <c r="I41" s="393">
        <f t="shared" ref="I41" si="25">+H41* $E41</f>
        <v>588</v>
      </c>
      <c r="J41" s="398">
        <f>+J31-J31*$F41</f>
        <v>8.4</v>
      </c>
      <c r="K41" s="393">
        <f t="shared" ref="K41" si="26">+J41* $E41</f>
        <v>588</v>
      </c>
      <c r="L41" s="398">
        <f>+L31-L31*$F41</f>
        <v>8.4</v>
      </c>
      <c r="M41" s="393">
        <f>+L41* $E41</f>
        <v>588</v>
      </c>
      <c r="N41" s="398">
        <f>+N31-N31*$F41</f>
        <v>8.4</v>
      </c>
      <c r="O41" s="393">
        <f t="shared" si="19"/>
        <v>588</v>
      </c>
      <c r="P41" s="398">
        <f>+P31-P31*$F41</f>
        <v>8.4</v>
      </c>
      <c r="Q41" s="393">
        <f t="shared" si="20"/>
        <v>588</v>
      </c>
    </row>
    <row r="42" spans="3:17">
      <c r="C42" s="345"/>
      <c r="D42" s="345"/>
      <c r="E42" s="345"/>
      <c r="F42" s="384">
        <f>AVERAGE(F37:F41)</f>
        <v>0.3</v>
      </c>
      <c r="G42" s="345"/>
      <c r="H42" s="394">
        <f t="shared" ref="H42" si="27">SUM(H37:H41)</f>
        <v>43.4</v>
      </c>
      <c r="I42" s="395">
        <f t="shared" ref="I42" si="28">SUM(I37:I41)</f>
        <v>2408</v>
      </c>
      <c r="J42" s="394">
        <f t="shared" ref="J42" si="29">SUM(J37:J41)</f>
        <v>46.9</v>
      </c>
      <c r="K42" s="395">
        <f t="shared" ref="K42" si="30">SUM(K37:K41)</f>
        <v>2180.5</v>
      </c>
      <c r="L42" s="394">
        <f t="shared" ref="L42" si="31">SUM(L37:L41)</f>
        <v>50.4</v>
      </c>
      <c r="M42" s="395">
        <f t="shared" ref="M42" si="32">SUM(M37:M41)</f>
        <v>1953</v>
      </c>
      <c r="N42" s="394">
        <f t="shared" ref="N42" si="33">SUM(N37:N41)</f>
        <v>43.4</v>
      </c>
      <c r="O42" s="395">
        <f t="shared" ref="O42" si="34">SUM(O37:O41)</f>
        <v>1883</v>
      </c>
      <c r="P42" s="394">
        <f t="shared" ref="P42" si="35">SUM(P37:P41)</f>
        <v>25.9</v>
      </c>
      <c r="Q42" s="395">
        <f t="shared" ref="Q42" si="36">SUM(Q37:Q41)</f>
        <v>1235.5</v>
      </c>
    </row>
    <row r="45" spans="3:17">
      <c r="C45" s="406" t="s">
        <v>274</v>
      </c>
      <c r="D45" s="406" t="s">
        <v>269</v>
      </c>
      <c r="E45" s="406" t="s">
        <v>270</v>
      </c>
    </row>
    <row r="46" spans="3:17">
      <c r="C46" s="353" t="s">
        <v>267</v>
      </c>
      <c r="D46" s="390">
        <f>+D23*(1-F42)</f>
        <v>210</v>
      </c>
      <c r="E46" s="353">
        <f>+D46*$M$5</f>
        <v>8312.5</v>
      </c>
    </row>
    <row r="47" spans="3:17">
      <c r="C47" s="353" t="s">
        <v>271</v>
      </c>
      <c r="D47" s="389">
        <f>+(D23-D46)*0.7</f>
        <v>62.999999999999993</v>
      </c>
      <c r="E47" s="353">
        <f t="shared" ref="E47:E49" si="37">+D47*$M$5</f>
        <v>2493.75</v>
      </c>
    </row>
    <row r="48" spans="3:17" ht="13.5" thickBot="1">
      <c r="C48" s="387" t="s">
        <v>272</v>
      </c>
      <c r="D48" s="391">
        <f>+D23-D47-D46</f>
        <v>27</v>
      </c>
      <c r="E48" s="388">
        <f t="shared" si="37"/>
        <v>1068.75</v>
      </c>
    </row>
    <row r="49" spans="3:5" ht="13.5" thickBot="1">
      <c r="C49" s="400" t="s">
        <v>273</v>
      </c>
      <c r="D49" s="401">
        <f>+I23-D23</f>
        <v>120</v>
      </c>
      <c r="E49" s="400">
        <f t="shared" si="37"/>
        <v>4750</v>
      </c>
    </row>
    <row r="50" spans="3:5" ht="13.5" thickBot="1">
      <c r="C50" s="402" t="s">
        <v>276</v>
      </c>
      <c r="D50" s="405">
        <f>+E50*D46/E46</f>
        <v>166.6105263157894</v>
      </c>
      <c r="E50" s="360">
        <f>G33-SUM(E46:E49)</f>
        <v>6594.9999999999964</v>
      </c>
    </row>
    <row r="51" spans="3:5">
      <c r="C51" s="403" t="s">
        <v>277</v>
      </c>
      <c r="D51" s="404"/>
      <c r="E51" s="404">
        <v>0</v>
      </c>
    </row>
  </sheetData>
  <dataValidations disablePrompts="1" count="1">
    <dataValidation type="whole" operator="greaterThan" allowBlank="1" showInputMessage="1" showErrorMessage="1" sqref="F19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D10:K34"/>
  <sheetViews>
    <sheetView topLeftCell="C7" workbookViewId="0">
      <selection activeCell="D25" sqref="D25:G33"/>
    </sheetView>
  </sheetViews>
  <sheetFormatPr defaultRowHeight="12.75"/>
  <cols>
    <col min="4" max="4" width="22.7109375" customWidth="1"/>
    <col min="5" max="5" width="11.7109375" customWidth="1"/>
    <col min="6" max="6" width="18.7109375" bestFit="1" customWidth="1"/>
    <col min="7" max="7" width="18.140625" bestFit="1" customWidth="1"/>
    <col min="8" max="8" width="11.28515625" bestFit="1" customWidth="1"/>
    <col min="9" max="9" width="10.28515625" bestFit="1" customWidth="1"/>
    <col min="10" max="10" width="9.85546875" bestFit="1" customWidth="1"/>
    <col min="11" max="11" width="11.28515625" bestFit="1" customWidth="1"/>
  </cols>
  <sheetData>
    <row r="10" spans="4:11" ht="13.5" thickBot="1"/>
    <row r="11" spans="4:11" ht="13.5" thickBot="1">
      <c r="D11" s="422" t="s">
        <v>285</v>
      </c>
      <c r="E11" s="423"/>
      <c r="F11" s="423"/>
      <c r="G11" s="423"/>
      <c r="H11" s="424"/>
      <c r="I11" s="424"/>
      <c r="J11" s="424"/>
      <c r="K11" s="424"/>
    </row>
    <row r="12" spans="4:11">
      <c r="D12" s="425"/>
      <c r="E12" s="335" t="s">
        <v>224</v>
      </c>
      <c r="F12" s="335" t="s">
        <v>279</v>
      </c>
      <c r="G12" s="335" t="s">
        <v>283</v>
      </c>
      <c r="H12" s="335" t="s">
        <v>248</v>
      </c>
      <c r="I12" s="349" t="s">
        <v>250</v>
      </c>
      <c r="J12" s="336" t="s">
        <v>254</v>
      </c>
      <c r="K12" s="336" t="s">
        <v>255</v>
      </c>
    </row>
    <row r="13" spans="4:11">
      <c r="D13" s="337" t="s">
        <v>234</v>
      </c>
      <c r="E13" s="436" t="s">
        <v>223</v>
      </c>
      <c r="F13" s="437">
        <v>45</v>
      </c>
      <c r="G13" s="438">
        <v>2025</v>
      </c>
      <c r="H13" s="439">
        <v>1.2857142857142858</v>
      </c>
      <c r="I13" s="440">
        <v>80</v>
      </c>
      <c r="J13" s="441">
        <v>70</v>
      </c>
      <c r="K13" s="442">
        <v>3150</v>
      </c>
    </row>
    <row r="14" spans="4:11">
      <c r="D14" s="418" t="s">
        <v>235</v>
      </c>
      <c r="E14" s="436" t="s">
        <v>223</v>
      </c>
      <c r="F14" s="437">
        <v>99</v>
      </c>
      <c r="G14" s="438">
        <v>3762</v>
      </c>
      <c r="H14" s="439">
        <v>2.8285714285714287</v>
      </c>
      <c r="I14" s="440">
        <v>120</v>
      </c>
      <c r="J14" s="441">
        <v>105</v>
      </c>
      <c r="K14" s="442">
        <v>3990</v>
      </c>
    </row>
    <row r="15" spans="4:11">
      <c r="D15" s="418" t="s">
        <v>236</v>
      </c>
      <c r="E15" s="436" t="s">
        <v>222</v>
      </c>
      <c r="F15" s="437">
        <v>102.00000000000001</v>
      </c>
      <c r="G15" s="438">
        <v>2550.0000000000005</v>
      </c>
      <c r="H15" s="439">
        <v>2.9142857142857146</v>
      </c>
      <c r="I15" s="440">
        <v>120</v>
      </c>
      <c r="J15" s="441">
        <v>105</v>
      </c>
      <c r="K15" s="442">
        <v>2625</v>
      </c>
    </row>
    <row r="16" spans="4:11">
      <c r="D16" s="337" t="s">
        <v>237</v>
      </c>
      <c r="E16" s="436" t="s">
        <v>244</v>
      </c>
      <c r="F16" s="437">
        <v>45</v>
      </c>
      <c r="G16" s="438">
        <v>1800</v>
      </c>
      <c r="H16" s="439">
        <v>1.2857142857142858</v>
      </c>
      <c r="I16" s="440">
        <v>80</v>
      </c>
      <c r="J16" s="441">
        <v>70</v>
      </c>
      <c r="K16" s="442">
        <v>2800</v>
      </c>
    </row>
    <row r="17" spans="4:11">
      <c r="D17" s="337" t="s">
        <v>238</v>
      </c>
      <c r="E17" s="436" t="s">
        <v>224</v>
      </c>
      <c r="F17" s="437">
        <v>48</v>
      </c>
      <c r="G17" s="438">
        <v>2400</v>
      </c>
      <c r="H17" s="439">
        <v>2.7428571428571429</v>
      </c>
      <c r="I17" s="440">
        <v>60</v>
      </c>
      <c r="J17" s="441">
        <v>52.5</v>
      </c>
      <c r="K17" s="442">
        <v>2625</v>
      </c>
    </row>
    <row r="18" spans="4:11" ht="13.5" thickBot="1">
      <c r="D18" s="338"/>
      <c r="E18" s="443"/>
      <c r="F18" s="341">
        <v>339</v>
      </c>
      <c r="G18" s="444">
        <v>12537</v>
      </c>
      <c r="H18" s="427">
        <v>5.5285714285714285</v>
      </c>
      <c r="I18" s="445">
        <v>460</v>
      </c>
      <c r="J18" s="446">
        <v>402.5</v>
      </c>
      <c r="K18" s="447">
        <v>15190</v>
      </c>
    </row>
    <row r="24" spans="4:11" ht="13.5" thickBot="1"/>
    <row r="25" spans="4:11" ht="13.5" thickBot="1">
      <c r="D25" s="422" t="s">
        <v>285</v>
      </c>
      <c r="E25" s="423"/>
      <c r="F25" s="423"/>
      <c r="G25" s="424"/>
    </row>
    <row r="26" spans="4:11">
      <c r="D26" s="425"/>
      <c r="E26" s="335" t="s">
        <v>224</v>
      </c>
      <c r="F26" s="335" t="s">
        <v>302</v>
      </c>
      <c r="G26" s="335" t="s">
        <v>301</v>
      </c>
    </row>
    <row r="27" spans="4:11">
      <c r="D27" s="337" t="s">
        <v>234</v>
      </c>
      <c r="E27" s="407" t="s">
        <v>223</v>
      </c>
      <c r="F27" s="428">
        <v>1</v>
      </c>
      <c r="G27" s="428">
        <v>1</v>
      </c>
    </row>
    <row r="28" spans="4:11">
      <c r="D28" s="418" t="s">
        <v>235</v>
      </c>
      <c r="E28" s="407" t="s">
        <v>223</v>
      </c>
      <c r="F28" s="428">
        <v>0.5</v>
      </c>
      <c r="G28" s="428">
        <v>0.8</v>
      </c>
    </row>
    <row r="29" spans="4:11">
      <c r="D29" s="418" t="s">
        <v>236</v>
      </c>
      <c r="E29" s="407" t="s">
        <v>222</v>
      </c>
      <c r="F29" s="428">
        <v>0.25</v>
      </c>
      <c r="G29" s="428">
        <v>0.8</v>
      </c>
    </row>
    <row r="30" spans="4:11">
      <c r="D30" s="418" t="s">
        <v>294</v>
      </c>
      <c r="E30" s="407" t="s">
        <v>222</v>
      </c>
      <c r="F30" s="428">
        <v>0.25</v>
      </c>
      <c r="G30" s="428">
        <v>0.8</v>
      </c>
    </row>
    <row r="31" spans="4:11">
      <c r="D31" s="337" t="s">
        <v>237</v>
      </c>
      <c r="E31" s="407" t="s">
        <v>244</v>
      </c>
      <c r="F31" s="428">
        <v>0.5</v>
      </c>
      <c r="G31" s="428">
        <v>1</v>
      </c>
    </row>
    <row r="32" spans="4:11">
      <c r="D32" s="337" t="s">
        <v>298</v>
      </c>
      <c r="E32" s="407" t="s">
        <v>244</v>
      </c>
      <c r="F32" s="428">
        <v>0.5</v>
      </c>
      <c r="G32" s="428">
        <v>1</v>
      </c>
    </row>
    <row r="33" spans="4:7">
      <c r="D33" s="337" t="s">
        <v>238</v>
      </c>
      <c r="E33" s="407" t="s">
        <v>224</v>
      </c>
      <c r="F33" s="428">
        <v>0.25</v>
      </c>
      <c r="G33" s="428">
        <v>0.25</v>
      </c>
    </row>
    <row r="34" spans="4:7" ht="13.5" thickBot="1">
      <c r="D34" s="338"/>
      <c r="E34" s="414"/>
      <c r="F34" s="416"/>
      <c r="G34" s="34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E10:F60"/>
  <sheetViews>
    <sheetView topLeftCell="E24" workbookViewId="0">
      <selection activeCell="E52" sqref="E52:F60"/>
    </sheetView>
  </sheetViews>
  <sheetFormatPr defaultRowHeight="12.75"/>
  <cols>
    <col min="5" max="5" width="39" bestFit="1" customWidth="1"/>
    <col min="6" max="6" width="16.85546875" customWidth="1"/>
  </cols>
  <sheetData>
    <row r="10" spans="5:6" ht="13.5" thickBot="1"/>
    <row r="11" spans="5:6">
      <c r="E11" s="189" t="s">
        <v>122</v>
      </c>
      <c r="F11" s="240" t="s">
        <v>41</v>
      </c>
    </row>
    <row r="12" spans="5:6">
      <c r="E12" s="190" t="s">
        <v>123</v>
      </c>
      <c r="F12" s="240" t="s">
        <v>41</v>
      </c>
    </row>
    <row r="13" spans="5:6">
      <c r="E13" s="190" t="s">
        <v>101</v>
      </c>
      <c r="F13" s="240" t="s">
        <v>41</v>
      </c>
    </row>
    <row r="14" spans="5:6">
      <c r="E14" s="190" t="s">
        <v>102</v>
      </c>
      <c r="F14" s="137" t="s">
        <v>40</v>
      </c>
    </row>
    <row r="15" spans="5:6">
      <c r="E15" s="191" t="s">
        <v>103</v>
      </c>
      <c r="F15" s="137" t="s">
        <v>40</v>
      </c>
    </row>
    <row r="16" spans="5:6">
      <c r="E16" s="191" t="s">
        <v>104</v>
      </c>
      <c r="F16" s="137" t="s">
        <v>40</v>
      </c>
    </row>
    <row r="17" spans="5:6">
      <c r="E17" s="192" t="s">
        <v>105</v>
      </c>
      <c r="F17" s="137" t="s">
        <v>40</v>
      </c>
    </row>
    <row r="18" spans="5:6">
      <c r="E18" s="192" t="s">
        <v>106</v>
      </c>
      <c r="F18" s="137" t="s">
        <v>40</v>
      </c>
    </row>
    <row r="19" spans="5:6">
      <c r="E19" s="192" t="s">
        <v>121</v>
      </c>
      <c r="F19" s="137" t="s">
        <v>40</v>
      </c>
    </row>
    <row r="20" spans="5:6">
      <c r="E20" s="199" t="s">
        <v>124</v>
      </c>
      <c r="F20" s="137" t="s">
        <v>40</v>
      </c>
    </row>
    <row r="21" spans="5:6">
      <c r="E21" s="200" t="s">
        <v>125</v>
      </c>
      <c r="F21" s="242" t="s">
        <v>42</v>
      </c>
    </row>
    <row r="22" spans="5:6">
      <c r="E22" s="200" t="s">
        <v>126</v>
      </c>
      <c r="F22" s="242" t="s">
        <v>42</v>
      </c>
    </row>
    <row r="23" spans="5:6">
      <c r="E23" s="201" t="s">
        <v>127</v>
      </c>
      <c r="F23" s="240" t="s">
        <v>41</v>
      </c>
    </row>
    <row r="24" spans="5:6">
      <c r="E24" s="200" t="s">
        <v>107</v>
      </c>
      <c r="F24" s="240" t="s">
        <v>41</v>
      </c>
    </row>
    <row r="25" spans="5:6">
      <c r="E25" s="200" t="s">
        <v>108</v>
      </c>
      <c r="F25" s="240" t="s">
        <v>41</v>
      </c>
    </row>
    <row r="26" spans="5:6">
      <c r="E26" s="193" t="s">
        <v>128</v>
      </c>
      <c r="F26" s="137" t="s">
        <v>40</v>
      </c>
    </row>
    <row r="27" spans="5:6">
      <c r="E27" s="193" t="s">
        <v>129</v>
      </c>
      <c r="F27" s="137" t="s">
        <v>40</v>
      </c>
    </row>
    <row r="28" spans="5:6">
      <c r="E28" s="202" t="s">
        <v>130</v>
      </c>
      <c r="F28" s="242" t="s">
        <v>42</v>
      </c>
    </row>
    <row r="29" spans="5:6">
      <c r="E29" s="202" t="s">
        <v>131</v>
      </c>
      <c r="F29" s="240" t="s">
        <v>41</v>
      </c>
    </row>
    <row r="30" spans="5:6">
      <c r="E30" s="203" t="s">
        <v>132</v>
      </c>
      <c r="F30" s="240" t="s">
        <v>41</v>
      </c>
    </row>
    <row r="31" spans="5:6">
      <c r="E31" s="204" t="s">
        <v>109</v>
      </c>
      <c r="F31" s="240" t="s">
        <v>41</v>
      </c>
    </row>
    <row r="32" spans="5:6">
      <c r="E32" s="204" t="s">
        <v>110</v>
      </c>
      <c r="F32" s="240" t="s">
        <v>41</v>
      </c>
    </row>
    <row r="33" spans="5:6">
      <c r="E33" s="205" t="s">
        <v>133</v>
      </c>
      <c r="F33" s="240" t="s">
        <v>41</v>
      </c>
    </row>
    <row r="34" spans="5:6">
      <c r="E34" s="205" t="s">
        <v>134</v>
      </c>
      <c r="F34" s="240" t="s">
        <v>41</v>
      </c>
    </row>
    <row r="35" spans="5:6">
      <c r="E35" s="206" t="s">
        <v>135</v>
      </c>
      <c r="F35" s="137" t="s">
        <v>40</v>
      </c>
    </row>
    <row r="36" spans="5:6">
      <c r="E36" s="196" t="s">
        <v>111</v>
      </c>
      <c r="F36" s="137" t="s">
        <v>40</v>
      </c>
    </row>
    <row r="37" spans="5:6" ht="13.5" thickBot="1">
      <c r="E37" s="207" t="s">
        <v>112</v>
      </c>
      <c r="F37" s="137" t="s">
        <v>40</v>
      </c>
    </row>
    <row r="38" spans="5:6" ht="13.5" thickBot="1">
      <c r="E38" s="197" t="s">
        <v>140</v>
      </c>
      <c r="F38" s="137" t="s">
        <v>40</v>
      </c>
    </row>
    <row r="39" spans="5:6" ht="13.5" thickBot="1">
      <c r="E39" s="213" t="s">
        <v>143</v>
      </c>
      <c r="F39" s="137" t="s">
        <v>40</v>
      </c>
    </row>
    <row r="40" spans="5:6" ht="13.5" thickBot="1">
      <c r="E40" s="241" t="s">
        <v>144</v>
      </c>
      <c r="F40" s="208" t="s">
        <v>41</v>
      </c>
    </row>
    <row r="41" spans="5:6" ht="13.5" thickBot="1">
      <c r="E41" s="197" t="s">
        <v>136</v>
      </c>
      <c r="F41" s="208" t="s">
        <v>41</v>
      </c>
    </row>
    <row r="51" spans="5:6" ht="13.5" thickBot="1"/>
    <row r="52" spans="5:6">
      <c r="E52" s="425"/>
      <c r="F52" s="336" t="s">
        <v>254</v>
      </c>
    </row>
    <row r="53" spans="5:6">
      <c r="E53" s="337" t="s">
        <v>234</v>
      </c>
      <c r="F53" s="421">
        <v>140</v>
      </c>
    </row>
    <row r="54" spans="5:6">
      <c r="E54" s="418" t="s">
        <v>235</v>
      </c>
      <c r="F54" s="421">
        <v>504</v>
      </c>
    </row>
    <row r="55" spans="5:6">
      <c r="E55" s="418" t="s">
        <v>236</v>
      </c>
      <c r="F55" s="421">
        <v>504</v>
      </c>
    </row>
    <row r="56" spans="5:6">
      <c r="E56" s="418" t="s">
        <v>294</v>
      </c>
      <c r="F56" s="421">
        <v>504</v>
      </c>
    </row>
    <row r="57" spans="5:6">
      <c r="E57" s="337" t="s">
        <v>237</v>
      </c>
      <c r="F57" s="421">
        <v>140</v>
      </c>
    </row>
    <row r="58" spans="5:6">
      <c r="E58" s="337" t="s">
        <v>298</v>
      </c>
      <c r="F58" s="421">
        <v>140</v>
      </c>
    </row>
    <row r="59" spans="5:6" ht="13.5" thickBot="1">
      <c r="E59" s="337" t="s">
        <v>238</v>
      </c>
      <c r="F59" s="421">
        <v>131.25</v>
      </c>
    </row>
    <row r="60" spans="5:6" ht="13.5" thickBot="1">
      <c r="E60" s="338"/>
      <c r="F60" s="500">
        <v>2063.25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BackLog</vt:lpstr>
      <vt:lpstr>BackLog Riegos </vt:lpstr>
      <vt:lpstr>Resumen Sprints</vt:lpstr>
      <vt:lpstr>Sprint1 </vt:lpstr>
      <vt:lpstr>Sheet2</vt:lpstr>
      <vt:lpstr>Resumen</vt:lpstr>
      <vt:lpstr>analisiscostos 2</vt:lpstr>
      <vt:lpstr>analisiscostos1</vt:lpstr>
      <vt:lpstr>Sheet3</vt:lpstr>
      <vt:lpstr>Sheet1</vt:lpstr>
      <vt:lpstr>Burn Down Sprint 1</vt:lpstr>
      <vt:lpstr>COSTOS Sprint </vt:lpstr>
      <vt:lpstr>hsdiariasdisponibles</vt:lpstr>
      <vt:lpstr>Resumen!OLE_LINK1</vt:lpstr>
      <vt:lpstr>recursos1</vt:lpstr>
      <vt:lpstr>recursos2</vt:lpstr>
    </vt:vector>
  </TitlesOfParts>
  <Company>Suris 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Suris</dc:creator>
  <cp:lastModifiedBy>Alejandro Sfrede</cp:lastModifiedBy>
  <cp:lastPrinted>2009-05-27T15:30:38Z</cp:lastPrinted>
  <dcterms:created xsi:type="dcterms:W3CDTF">2005-12-06T11:58:28Z</dcterms:created>
  <dcterms:modified xsi:type="dcterms:W3CDTF">2009-09-16T14:31:37Z</dcterms:modified>
</cp:coreProperties>
</file>